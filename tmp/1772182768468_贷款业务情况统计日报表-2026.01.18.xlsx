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902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<sst xmlns="http://schemas.openxmlformats.org/spreadsheetml/2006/main" count="139" uniqueCount="66">
  <si>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</si>
  <si>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2026.01.18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</si>
  <si>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</si>
  <si>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</si>
  <si>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</si>
  <si>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</si>
  <si>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</si>
  <si>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</si>
  <si>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</si>
  <si>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</si>
  <si>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</si>
  <si>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</si>
  <si>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</si>
  <si>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</si>
  <si>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</si>
  <si>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较15日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</si>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</sst>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7" fontId="0" fillId="2" borderId="13" xfId="0" applyNumberFormat="1" applyFill="1" applyBorder="1" applyAlignment="1">
      <alignment horizontal="center" vertical="center"/>
    </xf>
    <xf numFmtId="177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workbookViewId="0">
      <pane xSplit="2" topLeftCell="C1" activePane="topRight" state="frozen"/>
      <selection/>
      <selection pane="topRight" activeCell="A1" sqref="A$1:A$1048576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24876</v>
      </c>
      <c r="D6" s="12">
        <f>SUM(D7:D41)</f>
        <v>1399959.231821</v>
      </c>
      <c r="E6" s="12">
        <f>C6-AI6</f>
        <v>0</v>
      </c>
      <c r="F6" s="12">
        <f>D6-AJ6</f>
        <v>546.89576799958</v>
      </c>
      <c r="G6" s="12">
        <f>C6-AM6</f>
        <v>285</v>
      </c>
      <c r="H6" s="12">
        <f>D6-AN6</f>
        <v>6517.68583399965</v>
      </c>
      <c r="I6" s="12">
        <f>C6-AE6</f>
        <v>285</v>
      </c>
      <c r="J6" s="12">
        <f>D6-AF6</f>
        <v>6517.68583399965</v>
      </c>
      <c r="K6" s="12">
        <f>I6-AS6</f>
        <v>-1247</v>
      </c>
      <c r="L6" s="12">
        <f>J6-AT6</f>
        <v>-37332.8041660001</v>
      </c>
      <c r="M6" s="19">
        <f>I6/AE6*100</f>
        <v>1.15896059533976</v>
      </c>
      <c r="N6" s="19">
        <f>J6/AF6*100</f>
        <v>0.467740168417546</v>
      </c>
      <c r="O6" s="12">
        <f>C6+Y6</f>
        <v>24876</v>
      </c>
      <c r="P6" s="12">
        <f>D6+Z6</f>
        <v>1399959.231821</v>
      </c>
      <c r="Q6" s="12">
        <f>O6-AO6</f>
        <v>285</v>
      </c>
      <c r="R6" s="12">
        <f>P6-AP6</f>
        <v>6517.68583399965</v>
      </c>
      <c r="S6" s="30">
        <f>O6-AG6</f>
        <v>285</v>
      </c>
      <c r="T6" s="12">
        <f>P6-AH6</f>
        <v>6517.68583399965</v>
      </c>
      <c r="U6" s="19">
        <f>S6/AG6*100</f>
        <v>1.15896059533976</v>
      </c>
      <c r="V6" s="19">
        <f>T6/AH6*100</f>
        <v>0.467740168417546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24591</v>
      </c>
      <c r="AH6" s="41">
        <v>1393441.545987</v>
      </c>
      <c r="AI6" s="47">
        <v>24876</v>
      </c>
      <c r="AJ6" s="47">
        <v>1399412.336053</v>
      </c>
      <c r="AK6" s="47">
        <v>24876</v>
      </c>
      <c r="AL6" s="48">
        <v>1399412.336053</v>
      </c>
      <c r="AM6" s="41">
        <v>24591</v>
      </c>
      <c r="AN6" s="41">
        <v>1393441.545987</v>
      </c>
      <c r="AO6" s="41">
        <v>24591</v>
      </c>
      <c r="AP6" s="49">
        <v>1393441.545987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1652</v>
      </c>
      <c r="D7" s="12">
        <v>81445.0851960001</v>
      </c>
      <c r="E7" s="12">
        <f>C7-AI7</f>
        <v>0</v>
      </c>
      <c r="F7" s="12">
        <f>D7-AJ7</f>
        <v>-293.768633</v>
      </c>
      <c r="G7" s="12">
        <f>C7-AM7</f>
        <v>-5</v>
      </c>
      <c r="H7" s="12">
        <f>D7-AN7</f>
        <v>-964.830699999904</v>
      </c>
      <c r="I7" s="12">
        <f>C7-AE7</f>
        <v>-5</v>
      </c>
      <c r="J7" s="12">
        <f>D7-AF7</f>
        <v>-964.830699999904</v>
      </c>
      <c r="K7" s="12">
        <f t="shared" ref="K6:K12" si="0">I7-AS7</f>
        <v>-36</v>
      </c>
      <c r="L7" s="12">
        <f>J7-AT7</f>
        <v>-2472.37069999991</v>
      </c>
      <c r="M7" s="19">
        <f>I7/AE7*100</f>
        <v>-0.301750150875075</v>
      </c>
      <c r="N7" s="19">
        <f>J7/AF7*100</f>
        <v>-1.17077015491377</v>
      </c>
      <c r="O7" s="12">
        <f>C7+W7+AA7-AC7</f>
        <v>1652</v>
      </c>
      <c r="P7" s="12">
        <f>D7+X7+AB7-AD7</f>
        <v>81445.0851960001</v>
      </c>
      <c r="Q7" s="12">
        <f>O7-AO7</f>
        <v>-5</v>
      </c>
      <c r="R7" s="12">
        <f>P7-AP7</f>
        <v>-964.830699999904</v>
      </c>
      <c r="S7" s="12">
        <f>O7-AG7</f>
        <v>-5</v>
      </c>
      <c r="T7" s="12">
        <f>P7-AH7</f>
        <v>-964.830699999904</v>
      </c>
      <c r="U7" s="19">
        <f>S7/AG7*100</f>
        <v>-0.301750150875075</v>
      </c>
      <c r="V7" s="19">
        <f>T7/AH7*100</f>
        <v>-1.17077015491377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1657</v>
      </c>
      <c r="AH7" s="41">
        <v>82409.915896</v>
      </c>
      <c r="AI7" s="47">
        <v>1652</v>
      </c>
      <c r="AJ7" s="47">
        <v>81738.8538290001</v>
      </c>
      <c r="AK7" s="47">
        <v>1652</v>
      </c>
      <c r="AL7" s="47">
        <v>81738.8538290001</v>
      </c>
      <c r="AM7" s="41">
        <v>1657</v>
      </c>
      <c r="AN7" s="41">
        <v>82409.915896</v>
      </c>
      <c r="AO7" s="41">
        <v>1657</v>
      </c>
      <c r="AP7" s="49">
        <v>82409.915896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1903</v>
      </c>
      <c r="D8" s="12">
        <v>121601.43036</v>
      </c>
      <c r="E8" s="12">
        <f>C8-AI8</f>
        <v>-4</v>
      </c>
      <c r="F8" s="12">
        <f>D8-AJ8</f>
        <v>-508.563848000005</v>
      </c>
      <c r="G8" s="12">
        <f>C8-AM8</f>
        <v>-22</v>
      </c>
      <c r="H8" s="12">
        <f>D8-AN8</f>
        <v>-1626.93923600001</v>
      </c>
      <c r="I8" s="12">
        <f>C8-AE8</f>
        <v>-22</v>
      </c>
      <c r="J8" s="12">
        <f>D8-AF8</f>
        <v>-1626.93923600001</v>
      </c>
      <c r="K8" s="12">
        <f t="shared" si="0"/>
        <v>-22</v>
      </c>
      <c r="L8" s="12">
        <f>J8-AT8</f>
        <v>-513.089235999996</v>
      </c>
      <c r="M8" s="19">
        <f>I8/AE8*100</f>
        <v>-1.14285714285714</v>
      </c>
      <c r="N8" s="19">
        <f>J8/AF8*100</f>
        <v>-1.32026354104487</v>
      </c>
      <c r="O8" s="12">
        <f>C8+W8+AA8-AC8</f>
        <v>1903</v>
      </c>
      <c r="P8" s="12">
        <f>D8+X8+AB8-AD8</f>
        <v>121601.43036</v>
      </c>
      <c r="Q8" s="12">
        <f>O8-AO8</f>
        <v>-22</v>
      </c>
      <c r="R8" s="12">
        <f>P8-AP8</f>
        <v>-1626.93923600001</v>
      </c>
      <c r="S8" s="30">
        <f>O8-AG8</f>
        <v>-22</v>
      </c>
      <c r="T8" s="12">
        <f>P8-AH8</f>
        <v>-1626.93923600001</v>
      </c>
      <c r="U8" s="19">
        <f>S8/AG8*100</f>
        <v>-1.14285714285714</v>
      </c>
      <c r="V8" s="19">
        <f>T8/AH8*100</f>
        <v>-1.32026354104487</v>
      </c>
      <c r="W8" s="12"/>
      <c r="X8" s="29"/>
      <c r="Y8" s="29"/>
      <c r="Z8" s="29"/>
      <c r="AA8" s="29"/>
      <c r="AB8" s="12"/>
      <c r="AC8" s="29"/>
      <c r="AD8" s="12"/>
      <c r="AE8" s="41">
        <v>1925</v>
      </c>
      <c r="AF8" s="41">
        <v>123228.369596</v>
      </c>
      <c r="AG8" s="41">
        <v>1925</v>
      </c>
      <c r="AH8" s="41">
        <v>123228.369596</v>
      </c>
      <c r="AI8" s="47">
        <v>1907</v>
      </c>
      <c r="AJ8" s="47">
        <v>122109.994208</v>
      </c>
      <c r="AK8" s="47">
        <v>1907</v>
      </c>
      <c r="AL8" s="47">
        <v>122109.994208</v>
      </c>
      <c r="AM8" s="41">
        <v>1925</v>
      </c>
      <c r="AN8" s="41">
        <v>123228.369596</v>
      </c>
      <c r="AO8" s="41">
        <v>1925</v>
      </c>
      <c r="AP8" s="49">
        <v>123228.369596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769</v>
      </c>
      <c r="D9" s="12">
        <v>23247.39973</v>
      </c>
      <c r="E9" s="12">
        <f t="shared" ref="E9:E41" si="1">C9-AI9</f>
        <v>1</v>
      </c>
      <c r="F9" s="12">
        <f t="shared" ref="F9:F41" si="2">D9-AJ9</f>
        <v>-290.662093999999</v>
      </c>
      <c r="G9" s="12">
        <f t="shared" ref="G9:G41" si="3">C9-AM9</f>
        <v>56</v>
      </c>
      <c r="H9" s="12">
        <f t="shared" ref="H9:H41" si="4">D9-AN9</f>
        <v>129.104493999999</v>
      </c>
      <c r="I9" s="12">
        <f t="shared" ref="I9:I41" si="5">C9-AE9</f>
        <v>56</v>
      </c>
      <c r="J9" s="12">
        <f t="shared" ref="J9:J41" si="6">D9-AF9</f>
        <v>129.104493999999</v>
      </c>
      <c r="K9" s="12">
        <f t="shared" si="0"/>
        <v>-45</v>
      </c>
      <c r="L9" s="12">
        <f t="shared" ref="L9:L41" si="7">J9-AT9</f>
        <v>-1123.975506</v>
      </c>
      <c r="M9" s="19">
        <f t="shared" ref="M9:M41" si="8">I9/AE9*100</f>
        <v>7.85413744740533</v>
      </c>
      <c r="N9" s="19">
        <f t="shared" ref="N9:N41" si="9">J9/AF9*100</f>
        <v>0.558451618867453</v>
      </c>
      <c r="O9" s="12">
        <f t="shared" ref="O9:O40" si="10">C9+W9+AA9-AC9</f>
        <v>769</v>
      </c>
      <c r="P9" s="12">
        <f t="shared" ref="P9:P40" si="11">D9+X9+AB9-AD9</f>
        <v>23247.39973</v>
      </c>
      <c r="Q9" s="12">
        <f t="shared" ref="Q9:Q41" si="12">O9-AO9</f>
        <v>56</v>
      </c>
      <c r="R9" s="12">
        <f t="shared" ref="R9:R41" si="13">P9-AP9</f>
        <v>129.104493999999</v>
      </c>
      <c r="S9" s="12">
        <f t="shared" ref="S9:S41" si="14">O9-AG9</f>
        <v>56</v>
      </c>
      <c r="T9" s="12">
        <f t="shared" ref="T9:T41" si="15">P9-AH9</f>
        <v>129.104493999999</v>
      </c>
      <c r="U9" s="19">
        <f t="shared" ref="U9:U41" si="16">S9/AG9*100</f>
        <v>7.85413744740533</v>
      </c>
      <c r="V9" s="19">
        <f t="shared" ref="V9:V41" si="17">T9/AH9*100</f>
        <v>0.558451618867453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713</v>
      </c>
      <c r="AH9" s="41">
        <v>23118.295236</v>
      </c>
      <c r="AI9" s="47">
        <v>768</v>
      </c>
      <c r="AJ9" s="47">
        <v>23538.061824</v>
      </c>
      <c r="AK9" s="47">
        <v>768</v>
      </c>
      <c r="AL9" s="47">
        <v>23538.061824</v>
      </c>
      <c r="AM9" s="41">
        <v>713</v>
      </c>
      <c r="AN9" s="41">
        <v>23118.295236</v>
      </c>
      <c r="AO9" s="41">
        <v>713</v>
      </c>
      <c r="AP9" s="49">
        <v>23118.295236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930</v>
      </c>
      <c r="D10" s="12">
        <v>27665.499437</v>
      </c>
      <c r="E10" s="12">
        <f t="shared" si="1"/>
        <v>5</v>
      </c>
      <c r="F10" s="12">
        <f t="shared" si="2"/>
        <v>135.114365999998</v>
      </c>
      <c r="G10" s="12">
        <f t="shared" si="3"/>
        <v>39</v>
      </c>
      <c r="H10" s="12">
        <f t="shared" si="4"/>
        <v>-210.201638000002</v>
      </c>
      <c r="I10" s="12">
        <f t="shared" si="5"/>
        <v>39</v>
      </c>
      <c r="J10" s="12">
        <f t="shared" si="6"/>
        <v>-210.201638000002</v>
      </c>
      <c r="K10" s="12">
        <f t="shared" si="0"/>
        <v>21</v>
      </c>
      <c r="L10" s="12">
        <f t="shared" si="7"/>
        <v>-1920.971638</v>
      </c>
      <c r="M10" s="19">
        <f t="shared" si="8"/>
        <v>4.37710437710438</v>
      </c>
      <c r="N10" s="19">
        <f t="shared" si="9"/>
        <v>-0.754067628413906</v>
      </c>
      <c r="O10" s="12">
        <f t="shared" si="10"/>
        <v>930</v>
      </c>
      <c r="P10" s="12">
        <f t="shared" si="11"/>
        <v>27665.499437</v>
      </c>
      <c r="Q10" s="12">
        <f t="shared" si="12"/>
        <v>39</v>
      </c>
      <c r="R10" s="12">
        <f t="shared" si="13"/>
        <v>-210.201638000002</v>
      </c>
      <c r="S10" s="12">
        <f t="shared" si="14"/>
        <v>39</v>
      </c>
      <c r="T10" s="12">
        <f t="shared" si="15"/>
        <v>-210.201638000002</v>
      </c>
      <c r="U10" s="19">
        <f t="shared" si="16"/>
        <v>4.37710437710438</v>
      </c>
      <c r="V10" s="19">
        <f t="shared" si="17"/>
        <v>-0.754067628413906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891</v>
      </c>
      <c r="AH10" s="41">
        <v>27875.701075</v>
      </c>
      <c r="AI10" s="47">
        <v>925</v>
      </c>
      <c r="AJ10" s="47">
        <v>27530.385071</v>
      </c>
      <c r="AK10" s="47">
        <v>925</v>
      </c>
      <c r="AL10" s="47">
        <v>27530.385071</v>
      </c>
      <c r="AM10" s="41">
        <v>891</v>
      </c>
      <c r="AN10" s="41">
        <v>27875.701075</v>
      </c>
      <c r="AO10" s="41">
        <v>891</v>
      </c>
      <c r="AP10" s="49">
        <v>27875.701075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515</v>
      </c>
      <c r="D11" s="12">
        <v>12636.90172</v>
      </c>
      <c r="E11" s="12">
        <f t="shared" si="1"/>
        <v>1</v>
      </c>
      <c r="F11" s="12">
        <f t="shared" si="2"/>
        <v>-37.8999999999996</v>
      </c>
      <c r="G11" s="12">
        <f t="shared" si="3"/>
        <v>24</v>
      </c>
      <c r="H11" s="12">
        <f t="shared" si="4"/>
        <v>495.429905999999</v>
      </c>
      <c r="I11" s="12">
        <f t="shared" si="5"/>
        <v>24</v>
      </c>
      <c r="J11" s="12">
        <f t="shared" si="6"/>
        <v>495.429905999999</v>
      </c>
      <c r="K11" s="12">
        <f t="shared" si="0"/>
        <v>-15</v>
      </c>
      <c r="L11" s="12">
        <f t="shared" si="7"/>
        <v>-441.230094000001</v>
      </c>
      <c r="M11" s="19">
        <f t="shared" si="8"/>
        <v>4.88798370672098</v>
      </c>
      <c r="N11" s="19">
        <f t="shared" si="9"/>
        <v>4.08047651544793</v>
      </c>
      <c r="O11" s="12">
        <f t="shared" si="10"/>
        <v>515</v>
      </c>
      <c r="P11" s="12">
        <f t="shared" si="11"/>
        <v>12636.90172</v>
      </c>
      <c r="Q11" s="12">
        <f t="shared" si="12"/>
        <v>24</v>
      </c>
      <c r="R11" s="12">
        <f t="shared" si="13"/>
        <v>495.429905999999</v>
      </c>
      <c r="S11" s="12">
        <f t="shared" si="14"/>
        <v>24</v>
      </c>
      <c r="T11" s="12">
        <f t="shared" si="15"/>
        <v>495.429905999999</v>
      </c>
      <c r="U11" s="19">
        <f t="shared" si="16"/>
        <v>4.88798370672098</v>
      </c>
      <c r="V11" s="19">
        <f t="shared" si="17"/>
        <v>4.08047651544793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491</v>
      </c>
      <c r="AH11" s="41">
        <v>12141.471814</v>
      </c>
      <c r="AI11" s="47">
        <v>514</v>
      </c>
      <c r="AJ11" s="47">
        <v>12674.80172</v>
      </c>
      <c r="AK11" s="47">
        <v>514</v>
      </c>
      <c r="AL11" s="47">
        <v>12674.80172</v>
      </c>
      <c r="AM11" s="41">
        <v>491</v>
      </c>
      <c r="AN11" s="41">
        <v>12141.471814</v>
      </c>
      <c r="AO11" s="41">
        <v>491</v>
      </c>
      <c r="AP11" s="49">
        <v>12141.471814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395</v>
      </c>
      <c r="D12" s="12">
        <v>14332.919165</v>
      </c>
      <c r="E12" s="12">
        <f t="shared" si="1"/>
        <v>0</v>
      </c>
      <c r="F12" s="12">
        <f t="shared" si="2"/>
        <v>-19.2000000000007</v>
      </c>
      <c r="G12" s="12">
        <f t="shared" si="3"/>
        <v>37</v>
      </c>
      <c r="H12" s="12">
        <f t="shared" si="4"/>
        <v>957.672827999999</v>
      </c>
      <c r="I12" s="12">
        <f t="shared" si="5"/>
        <v>37</v>
      </c>
      <c r="J12" s="12">
        <f t="shared" si="6"/>
        <v>957.672827999999</v>
      </c>
      <c r="K12" s="12">
        <f t="shared" si="0"/>
        <v>-36</v>
      </c>
      <c r="L12" s="12">
        <f t="shared" si="7"/>
        <v>-536.327172000001</v>
      </c>
      <c r="M12" s="19">
        <f t="shared" si="8"/>
        <v>10.3351955307263</v>
      </c>
      <c r="N12" s="19">
        <f t="shared" si="9"/>
        <v>7.16003880504828</v>
      </c>
      <c r="O12" s="12">
        <f t="shared" si="10"/>
        <v>395</v>
      </c>
      <c r="P12" s="12">
        <f t="shared" si="11"/>
        <v>14332.919165</v>
      </c>
      <c r="Q12" s="12">
        <f t="shared" si="12"/>
        <v>37</v>
      </c>
      <c r="R12" s="12">
        <f t="shared" si="13"/>
        <v>957.672827999999</v>
      </c>
      <c r="S12" s="30">
        <f t="shared" si="14"/>
        <v>37</v>
      </c>
      <c r="T12" s="12">
        <f t="shared" si="15"/>
        <v>957.672827999999</v>
      </c>
      <c r="U12" s="19">
        <f t="shared" si="16"/>
        <v>10.3351955307263</v>
      </c>
      <c r="V12" s="19">
        <f t="shared" si="17"/>
        <v>7.16003880504828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358</v>
      </c>
      <c r="AH12" s="41">
        <v>13375.246337</v>
      </c>
      <c r="AI12" s="47">
        <v>395</v>
      </c>
      <c r="AJ12" s="47">
        <v>14352.119165</v>
      </c>
      <c r="AK12" s="47">
        <v>395</v>
      </c>
      <c r="AL12" s="47">
        <v>14352.119165</v>
      </c>
      <c r="AM12" s="41">
        <v>358</v>
      </c>
      <c r="AN12" s="41">
        <v>13375.246337</v>
      </c>
      <c r="AO12" s="41">
        <v>358</v>
      </c>
      <c r="AP12" s="49">
        <v>13375.246337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464</v>
      </c>
      <c r="D13" s="12">
        <v>11787.52839</v>
      </c>
      <c r="E13" s="12">
        <f t="shared" si="1"/>
        <v>1</v>
      </c>
      <c r="F13" s="12">
        <f t="shared" si="2"/>
        <v>-3.79082500000004</v>
      </c>
      <c r="G13" s="12">
        <f t="shared" si="3"/>
        <v>-5</v>
      </c>
      <c r="H13" s="12">
        <f t="shared" si="4"/>
        <v>-249.761226000001</v>
      </c>
      <c r="I13" s="12">
        <f t="shared" si="5"/>
        <v>-5</v>
      </c>
      <c r="J13" s="12">
        <f t="shared" si="6"/>
        <v>-249.761226000001</v>
      </c>
      <c r="K13" s="12">
        <f t="shared" ref="K9:K41" si="18">I13-AS13</f>
        <v>-8</v>
      </c>
      <c r="L13" s="12">
        <f t="shared" si="7"/>
        <v>-816.231226000002</v>
      </c>
      <c r="M13" s="19">
        <f t="shared" si="8"/>
        <v>-1.06609808102345</v>
      </c>
      <c r="N13" s="19">
        <f t="shared" si="9"/>
        <v>-2.07489587745747</v>
      </c>
      <c r="O13" s="12">
        <f t="shared" si="10"/>
        <v>464</v>
      </c>
      <c r="P13" s="12">
        <f t="shared" si="11"/>
        <v>11787.52839</v>
      </c>
      <c r="Q13" s="12">
        <f t="shared" si="12"/>
        <v>-5</v>
      </c>
      <c r="R13" s="12">
        <f t="shared" si="13"/>
        <v>-249.761226000001</v>
      </c>
      <c r="S13" s="12">
        <f t="shared" si="14"/>
        <v>-5</v>
      </c>
      <c r="T13" s="12">
        <f t="shared" si="15"/>
        <v>-249.761226000001</v>
      </c>
      <c r="U13" s="19">
        <f t="shared" si="16"/>
        <v>-1.06609808102345</v>
      </c>
      <c r="V13" s="19">
        <f t="shared" si="17"/>
        <v>-2.07489587745747</v>
      </c>
      <c r="W13" s="12"/>
      <c r="X13" s="29"/>
      <c r="Y13" s="29"/>
      <c r="Z13" s="29"/>
      <c r="AA13" s="29"/>
      <c r="AB13" s="12"/>
      <c r="AC13" s="29"/>
      <c r="AD13" s="12"/>
      <c r="AE13" s="41">
        <v>469</v>
      </c>
      <c r="AF13" s="41">
        <v>12037.289616</v>
      </c>
      <c r="AG13" s="41">
        <v>469</v>
      </c>
      <c r="AH13" s="41">
        <v>12037.289616</v>
      </c>
      <c r="AI13" s="47">
        <v>463</v>
      </c>
      <c r="AJ13" s="47">
        <v>11791.319215</v>
      </c>
      <c r="AK13" s="47">
        <v>463</v>
      </c>
      <c r="AL13" s="47">
        <v>11791.319215</v>
      </c>
      <c r="AM13" s="41">
        <v>469</v>
      </c>
      <c r="AN13" s="41">
        <v>12037.289616</v>
      </c>
      <c r="AO13" s="41">
        <v>469</v>
      </c>
      <c r="AP13" s="49">
        <v>12037.289616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358</v>
      </c>
      <c r="D14" s="12">
        <v>11353.336652</v>
      </c>
      <c r="E14" s="12">
        <f t="shared" si="1"/>
        <v>4</v>
      </c>
      <c r="F14" s="12">
        <f t="shared" si="2"/>
        <v>33.44002</v>
      </c>
      <c r="G14" s="12">
        <f t="shared" si="3"/>
        <v>10</v>
      </c>
      <c r="H14" s="12">
        <f t="shared" si="4"/>
        <v>773.645603999999</v>
      </c>
      <c r="I14" s="12">
        <f t="shared" si="5"/>
        <v>10</v>
      </c>
      <c r="J14" s="12">
        <f t="shared" si="6"/>
        <v>773.645603999999</v>
      </c>
      <c r="K14" s="12">
        <f t="shared" si="18"/>
        <v>-66</v>
      </c>
      <c r="L14" s="12">
        <f t="shared" si="7"/>
        <v>-143.654396</v>
      </c>
      <c r="M14" s="19">
        <f t="shared" si="8"/>
        <v>2.8735632183908</v>
      </c>
      <c r="N14" s="19">
        <f t="shared" si="9"/>
        <v>7.31255384008827</v>
      </c>
      <c r="O14" s="12">
        <f t="shared" si="10"/>
        <v>358</v>
      </c>
      <c r="P14" s="12">
        <f t="shared" si="11"/>
        <v>11353.336652</v>
      </c>
      <c r="Q14" s="12">
        <f t="shared" si="12"/>
        <v>10</v>
      </c>
      <c r="R14" s="12">
        <f t="shared" si="13"/>
        <v>773.645603999999</v>
      </c>
      <c r="S14" s="12">
        <f t="shared" si="14"/>
        <v>10</v>
      </c>
      <c r="T14" s="12">
        <f t="shared" si="15"/>
        <v>773.645603999999</v>
      </c>
      <c r="U14" s="19">
        <f t="shared" si="16"/>
        <v>2.8735632183908</v>
      </c>
      <c r="V14" s="19">
        <f t="shared" si="17"/>
        <v>7.31255384008827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348</v>
      </c>
      <c r="AH14" s="41">
        <v>10579.691048</v>
      </c>
      <c r="AI14" s="47">
        <v>354</v>
      </c>
      <c r="AJ14" s="47">
        <v>11319.896632</v>
      </c>
      <c r="AK14" s="47">
        <v>354</v>
      </c>
      <c r="AL14" s="47">
        <v>11319.896632</v>
      </c>
      <c r="AM14" s="41">
        <v>348</v>
      </c>
      <c r="AN14" s="41">
        <v>10579.691048</v>
      </c>
      <c r="AO14" s="41">
        <v>348</v>
      </c>
      <c r="AP14" s="49">
        <v>10579.691048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706</v>
      </c>
      <c r="D15" s="12">
        <v>18228.075857</v>
      </c>
      <c r="E15" s="12">
        <f t="shared" si="1"/>
        <v>8</v>
      </c>
      <c r="F15" s="12">
        <f t="shared" si="2"/>
        <v>-87.5659149999992</v>
      </c>
      <c r="G15" s="12">
        <f t="shared" si="3"/>
        <v>52</v>
      </c>
      <c r="H15" s="12">
        <f t="shared" si="4"/>
        <v>686.739110999999</v>
      </c>
      <c r="I15" s="12">
        <f t="shared" si="5"/>
        <v>52</v>
      </c>
      <c r="J15" s="12">
        <f t="shared" si="6"/>
        <v>686.739110999999</v>
      </c>
      <c r="K15" s="12">
        <f t="shared" si="18"/>
        <v>-58</v>
      </c>
      <c r="L15" s="12">
        <f t="shared" si="7"/>
        <v>-773.110889000001</v>
      </c>
      <c r="M15" s="19">
        <f t="shared" si="8"/>
        <v>7.95107033639144</v>
      </c>
      <c r="N15" s="19">
        <f t="shared" si="9"/>
        <v>3.91497592768463</v>
      </c>
      <c r="O15" s="12">
        <f t="shared" si="10"/>
        <v>706</v>
      </c>
      <c r="P15" s="12">
        <f t="shared" si="11"/>
        <v>18228.075857</v>
      </c>
      <c r="Q15" s="12">
        <f t="shared" si="12"/>
        <v>52</v>
      </c>
      <c r="R15" s="12">
        <f t="shared" si="13"/>
        <v>686.739110999999</v>
      </c>
      <c r="S15" s="12">
        <f t="shared" si="14"/>
        <v>52</v>
      </c>
      <c r="T15" s="12">
        <f t="shared" si="15"/>
        <v>686.739110999999</v>
      </c>
      <c r="U15" s="19">
        <f t="shared" si="16"/>
        <v>7.95107033639144</v>
      </c>
      <c r="V15" s="19">
        <f t="shared" si="17"/>
        <v>3.91497592768463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654</v>
      </c>
      <c r="AH15" s="41">
        <v>17541.336746</v>
      </c>
      <c r="AI15" s="47">
        <v>698</v>
      </c>
      <c r="AJ15" s="47">
        <v>18315.641772</v>
      </c>
      <c r="AK15" s="47">
        <v>698</v>
      </c>
      <c r="AL15" s="47">
        <v>18315.641772</v>
      </c>
      <c r="AM15" s="41">
        <v>654</v>
      </c>
      <c r="AN15" s="41">
        <v>17541.336746</v>
      </c>
      <c r="AO15" s="41">
        <v>654</v>
      </c>
      <c r="AP15" s="49">
        <v>17541.336746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694</v>
      </c>
      <c r="D16" s="12">
        <v>23985.321379</v>
      </c>
      <c r="E16" s="12">
        <f t="shared" si="1"/>
        <v>0</v>
      </c>
      <c r="F16" s="12">
        <f t="shared" si="2"/>
        <v>151.182870000001</v>
      </c>
      <c r="G16" s="12">
        <f t="shared" si="3"/>
        <v>-9</v>
      </c>
      <c r="H16" s="12">
        <f t="shared" si="4"/>
        <v>1084.594416</v>
      </c>
      <c r="I16" s="12">
        <f t="shared" si="5"/>
        <v>-9</v>
      </c>
      <c r="J16" s="12">
        <f t="shared" si="6"/>
        <v>1084.594416</v>
      </c>
      <c r="K16" s="12">
        <f t="shared" si="18"/>
        <v>-72</v>
      </c>
      <c r="L16" s="12">
        <f t="shared" si="7"/>
        <v>296.634416000001</v>
      </c>
      <c r="M16" s="19">
        <f t="shared" si="8"/>
        <v>-1.28022759601707</v>
      </c>
      <c r="N16" s="19">
        <f t="shared" si="9"/>
        <v>4.73606981015208</v>
      </c>
      <c r="O16" s="12">
        <f t="shared" si="10"/>
        <v>694</v>
      </c>
      <c r="P16" s="12">
        <f t="shared" si="11"/>
        <v>23985.321379</v>
      </c>
      <c r="Q16" s="12">
        <f t="shared" si="12"/>
        <v>-9</v>
      </c>
      <c r="R16" s="12">
        <f t="shared" si="13"/>
        <v>1084.594416</v>
      </c>
      <c r="S16" s="12">
        <f t="shared" si="14"/>
        <v>-9</v>
      </c>
      <c r="T16" s="12">
        <f t="shared" si="15"/>
        <v>1084.594416</v>
      </c>
      <c r="U16" s="19">
        <f t="shared" si="16"/>
        <v>-1.28022759601707</v>
      </c>
      <c r="V16" s="19">
        <f t="shared" si="17"/>
        <v>4.73606981015208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703</v>
      </c>
      <c r="AH16" s="41">
        <v>22900.726963</v>
      </c>
      <c r="AI16" s="47">
        <v>694</v>
      </c>
      <c r="AJ16" s="47">
        <v>23834.138509</v>
      </c>
      <c r="AK16" s="47">
        <v>694</v>
      </c>
      <c r="AL16" s="47">
        <v>23834.138509</v>
      </c>
      <c r="AM16" s="41">
        <v>703</v>
      </c>
      <c r="AN16" s="41">
        <v>22900.726963</v>
      </c>
      <c r="AO16" s="41">
        <v>703</v>
      </c>
      <c r="AP16" s="49">
        <v>22900.726963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587</v>
      </c>
      <c r="D17" s="12">
        <v>18098.252328</v>
      </c>
      <c r="E17" s="12">
        <f t="shared" si="1"/>
        <v>0</v>
      </c>
      <c r="F17" s="12">
        <f t="shared" si="2"/>
        <v>40.7134869999973</v>
      </c>
      <c r="G17" s="12">
        <f t="shared" si="3"/>
        <v>-12</v>
      </c>
      <c r="H17" s="12">
        <f t="shared" si="4"/>
        <v>-331.768549</v>
      </c>
      <c r="I17" s="12">
        <f t="shared" si="5"/>
        <v>-12</v>
      </c>
      <c r="J17" s="12">
        <f t="shared" si="6"/>
        <v>-331.768549</v>
      </c>
      <c r="K17" s="12">
        <f t="shared" si="18"/>
        <v>-20</v>
      </c>
      <c r="L17" s="12">
        <f t="shared" si="7"/>
        <v>-1061.478549</v>
      </c>
      <c r="M17" s="19">
        <f t="shared" si="8"/>
        <v>-2.00333889816361</v>
      </c>
      <c r="N17" s="19">
        <f t="shared" si="9"/>
        <v>-1.80015286588218</v>
      </c>
      <c r="O17" s="12">
        <f t="shared" si="10"/>
        <v>587</v>
      </c>
      <c r="P17" s="12">
        <f t="shared" si="11"/>
        <v>18098.252328</v>
      </c>
      <c r="Q17" s="12">
        <f t="shared" si="12"/>
        <v>-12</v>
      </c>
      <c r="R17" s="12">
        <f t="shared" si="13"/>
        <v>-331.768549</v>
      </c>
      <c r="S17" s="30">
        <f t="shared" si="14"/>
        <v>-12</v>
      </c>
      <c r="T17" s="12">
        <f t="shared" si="15"/>
        <v>-331.768549</v>
      </c>
      <c r="U17" s="19">
        <f t="shared" si="16"/>
        <v>-2.00333889816361</v>
      </c>
      <c r="V17" s="19">
        <f t="shared" si="17"/>
        <v>-1.80015286588218</v>
      </c>
      <c r="W17" s="12"/>
      <c r="X17" s="29"/>
      <c r="Y17" s="29"/>
      <c r="Z17" s="29"/>
      <c r="AA17" s="29"/>
      <c r="AB17" s="12"/>
      <c r="AC17" s="29"/>
      <c r="AD17" s="12"/>
      <c r="AE17" s="41">
        <v>599</v>
      </c>
      <c r="AF17" s="41">
        <v>18430.020877</v>
      </c>
      <c r="AG17" s="41">
        <v>599</v>
      </c>
      <c r="AH17" s="41">
        <v>18430.020877</v>
      </c>
      <c r="AI17" s="47">
        <v>587</v>
      </c>
      <c r="AJ17" s="47">
        <v>18057.538841</v>
      </c>
      <c r="AK17" s="47">
        <v>587</v>
      </c>
      <c r="AL17" s="47">
        <v>18057.538841</v>
      </c>
      <c r="AM17" s="41">
        <v>599</v>
      </c>
      <c r="AN17" s="41">
        <v>18430.020877</v>
      </c>
      <c r="AO17" s="41">
        <v>599</v>
      </c>
      <c r="AP17" s="49">
        <v>18430.020877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483</v>
      </c>
      <c r="D18" s="12">
        <v>19748.604207</v>
      </c>
      <c r="E18" s="12">
        <f t="shared" si="1"/>
        <v>-1</v>
      </c>
      <c r="F18" s="12">
        <f t="shared" si="2"/>
        <v>128.201145999999</v>
      </c>
      <c r="G18" s="12">
        <f t="shared" si="3"/>
        <v>1</v>
      </c>
      <c r="H18" s="12">
        <f t="shared" si="4"/>
        <v>191.140807</v>
      </c>
      <c r="I18" s="12">
        <f t="shared" si="5"/>
        <v>1</v>
      </c>
      <c r="J18" s="12">
        <f t="shared" si="6"/>
        <v>191.140807</v>
      </c>
      <c r="K18" s="12">
        <f t="shared" si="18"/>
        <v>-10</v>
      </c>
      <c r="L18" s="12">
        <f t="shared" si="7"/>
        <v>-1120.329193</v>
      </c>
      <c r="M18" s="19">
        <f t="shared" si="8"/>
        <v>0.20746887966805</v>
      </c>
      <c r="N18" s="19">
        <f t="shared" si="9"/>
        <v>0.977329232787928</v>
      </c>
      <c r="O18" s="12">
        <f t="shared" si="10"/>
        <v>483</v>
      </c>
      <c r="P18" s="12">
        <f t="shared" si="11"/>
        <v>19748.604207</v>
      </c>
      <c r="Q18" s="12">
        <f t="shared" si="12"/>
        <v>1</v>
      </c>
      <c r="R18" s="12">
        <f t="shared" si="13"/>
        <v>191.140807</v>
      </c>
      <c r="S18" s="12">
        <f t="shared" si="14"/>
        <v>1</v>
      </c>
      <c r="T18" s="12">
        <f t="shared" si="15"/>
        <v>191.140807</v>
      </c>
      <c r="U18" s="19">
        <f t="shared" si="16"/>
        <v>0.20746887966805</v>
      </c>
      <c r="V18" s="19">
        <f t="shared" si="17"/>
        <v>0.977329232787928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482</v>
      </c>
      <c r="AH18" s="41">
        <v>19557.4634</v>
      </c>
      <c r="AI18" s="47">
        <v>484</v>
      </c>
      <c r="AJ18" s="47">
        <v>19620.403061</v>
      </c>
      <c r="AK18" s="47">
        <v>484</v>
      </c>
      <c r="AL18" s="47">
        <v>19620.403061</v>
      </c>
      <c r="AM18" s="41">
        <v>482</v>
      </c>
      <c r="AN18" s="41">
        <v>19557.4634</v>
      </c>
      <c r="AO18" s="41">
        <v>482</v>
      </c>
      <c r="AP18" s="49">
        <v>19557.4634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423</v>
      </c>
      <c r="D19" s="12">
        <v>14846.905472</v>
      </c>
      <c r="E19" s="12">
        <f t="shared" si="1"/>
        <v>0</v>
      </c>
      <c r="F19" s="12">
        <f t="shared" si="2"/>
        <v>301.6201</v>
      </c>
      <c r="G19" s="12">
        <f t="shared" si="3"/>
        <v>-9</v>
      </c>
      <c r="H19" s="12">
        <f t="shared" si="4"/>
        <v>216.5591</v>
      </c>
      <c r="I19" s="12">
        <f t="shared" si="5"/>
        <v>-9</v>
      </c>
      <c r="J19" s="12">
        <f t="shared" si="6"/>
        <v>216.5591</v>
      </c>
      <c r="K19" s="12">
        <f t="shared" si="18"/>
        <v>-41</v>
      </c>
      <c r="L19" s="12">
        <f t="shared" si="7"/>
        <v>-586.4209</v>
      </c>
      <c r="M19" s="19">
        <f t="shared" si="8"/>
        <v>-2.08333333333333</v>
      </c>
      <c r="N19" s="19">
        <f t="shared" si="9"/>
        <v>1.48020487344345</v>
      </c>
      <c r="O19" s="12">
        <f t="shared" si="10"/>
        <v>423</v>
      </c>
      <c r="P19" s="12">
        <f t="shared" si="11"/>
        <v>14846.905472</v>
      </c>
      <c r="Q19" s="12">
        <f t="shared" si="12"/>
        <v>-9</v>
      </c>
      <c r="R19" s="12">
        <f t="shared" si="13"/>
        <v>216.5591</v>
      </c>
      <c r="S19" s="12">
        <f t="shared" si="14"/>
        <v>-9</v>
      </c>
      <c r="T19" s="12">
        <f t="shared" si="15"/>
        <v>216.5591</v>
      </c>
      <c r="U19" s="19">
        <f t="shared" si="16"/>
        <v>-2.08333333333333</v>
      </c>
      <c r="V19" s="19">
        <f t="shared" si="17"/>
        <v>1.48020487344345</v>
      </c>
      <c r="W19" s="12"/>
      <c r="X19" s="29"/>
      <c r="Y19" s="29"/>
      <c r="Z19" s="29"/>
      <c r="AA19" s="29"/>
      <c r="AB19" s="12"/>
      <c r="AC19" s="29"/>
      <c r="AD19" s="12"/>
      <c r="AE19" s="41">
        <v>432</v>
      </c>
      <c r="AF19" s="41">
        <v>14630.346372</v>
      </c>
      <c r="AG19" s="41">
        <v>432</v>
      </c>
      <c r="AH19" s="41">
        <v>14630.346372</v>
      </c>
      <c r="AI19" s="47">
        <v>423</v>
      </c>
      <c r="AJ19" s="47">
        <v>14545.285372</v>
      </c>
      <c r="AK19" s="47">
        <v>423</v>
      </c>
      <c r="AL19" s="47">
        <v>14545.285372</v>
      </c>
      <c r="AM19" s="41">
        <v>432</v>
      </c>
      <c r="AN19" s="41">
        <v>14630.346372</v>
      </c>
      <c r="AO19" s="41">
        <v>432</v>
      </c>
      <c r="AP19" s="49">
        <v>14630.346372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648</v>
      </c>
      <c r="D20" s="12">
        <v>19399.12514</v>
      </c>
      <c r="E20" s="12">
        <f t="shared" si="1"/>
        <v>1</v>
      </c>
      <c r="F20" s="12">
        <f t="shared" si="2"/>
        <v>-23.6024639999996</v>
      </c>
      <c r="G20" s="12">
        <f t="shared" si="3"/>
        <v>37</v>
      </c>
      <c r="H20" s="12">
        <f t="shared" si="4"/>
        <v>1380.407536</v>
      </c>
      <c r="I20" s="12">
        <f t="shared" si="5"/>
        <v>37</v>
      </c>
      <c r="J20" s="12">
        <f t="shared" si="6"/>
        <v>1380.407536</v>
      </c>
      <c r="K20" s="12">
        <f t="shared" si="18"/>
        <v>-44</v>
      </c>
      <c r="L20" s="12">
        <f t="shared" si="7"/>
        <v>-836.242464000001</v>
      </c>
      <c r="M20" s="19">
        <f t="shared" si="8"/>
        <v>6.0556464811784</v>
      </c>
      <c r="N20" s="19">
        <f t="shared" si="9"/>
        <v>7.66096437236776</v>
      </c>
      <c r="O20" s="12">
        <f t="shared" si="10"/>
        <v>648</v>
      </c>
      <c r="P20" s="12">
        <f t="shared" si="11"/>
        <v>19399.12514</v>
      </c>
      <c r="Q20" s="12">
        <f t="shared" si="12"/>
        <v>37</v>
      </c>
      <c r="R20" s="12">
        <f t="shared" si="13"/>
        <v>1380.407536</v>
      </c>
      <c r="S20" s="12">
        <f t="shared" si="14"/>
        <v>37</v>
      </c>
      <c r="T20" s="12">
        <f t="shared" si="15"/>
        <v>1380.407536</v>
      </c>
      <c r="U20" s="19">
        <f t="shared" si="16"/>
        <v>6.0556464811784</v>
      </c>
      <c r="V20" s="19">
        <f t="shared" si="17"/>
        <v>7.66096437236776</v>
      </c>
      <c r="W20" s="12"/>
      <c r="X20" s="29"/>
      <c r="Y20" s="29"/>
      <c r="Z20" s="29"/>
      <c r="AA20" s="29"/>
      <c r="AB20" s="12"/>
      <c r="AC20" s="29"/>
      <c r="AD20" s="12"/>
      <c r="AE20" s="41">
        <v>611</v>
      </c>
      <c r="AF20" s="41">
        <v>18018.717604</v>
      </c>
      <c r="AG20" s="41">
        <v>611</v>
      </c>
      <c r="AH20" s="41">
        <v>18018.717604</v>
      </c>
      <c r="AI20" s="47">
        <v>647</v>
      </c>
      <c r="AJ20" s="47">
        <v>19422.727604</v>
      </c>
      <c r="AK20" s="47">
        <v>647</v>
      </c>
      <c r="AL20" s="47">
        <v>19422.727604</v>
      </c>
      <c r="AM20" s="41">
        <v>611</v>
      </c>
      <c r="AN20" s="41">
        <v>18018.717604</v>
      </c>
      <c r="AO20" s="41">
        <v>611</v>
      </c>
      <c r="AP20" s="49">
        <v>18018.717604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434</v>
      </c>
      <c r="D21" s="12">
        <v>15172.81911</v>
      </c>
      <c r="E21" s="12">
        <f t="shared" si="1"/>
        <v>-6</v>
      </c>
      <c r="F21" s="12">
        <f t="shared" si="2"/>
        <v>-128.972895999999</v>
      </c>
      <c r="G21" s="12">
        <f t="shared" si="3"/>
        <v>-4</v>
      </c>
      <c r="H21" s="12">
        <f t="shared" si="4"/>
        <v>-251.645162999999</v>
      </c>
      <c r="I21" s="12">
        <f t="shared" si="5"/>
        <v>-4</v>
      </c>
      <c r="J21" s="12">
        <f t="shared" si="6"/>
        <v>-251.645162999999</v>
      </c>
      <c r="K21" s="12">
        <f t="shared" si="18"/>
        <v>-61</v>
      </c>
      <c r="L21" s="12">
        <f t="shared" si="7"/>
        <v>-1261.545163</v>
      </c>
      <c r="M21" s="19">
        <f t="shared" si="8"/>
        <v>-0.91324200913242</v>
      </c>
      <c r="N21" s="19">
        <f t="shared" si="9"/>
        <v>-1.63146776799565</v>
      </c>
      <c r="O21" s="12">
        <f t="shared" si="10"/>
        <v>434</v>
      </c>
      <c r="P21" s="12">
        <f t="shared" si="11"/>
        <v>15172.81911</v>
      </c>
      <c r="Q21" s="12">
        <f t="shared" si="12"/>
        <v>-4</v>
      </c>
      <c r="R21" s="12">
        <f t="shared" si="13"/>
        <v>-251.645162999999</v>
      </c>
      <c r="S21" s="30">
        <f t="shared" si="14"/>
        <v>-4</v>
      </c>
      <c r="T21" s="12">
        <f t="shared" si="15"/>
        <v>-251.645162999999</v>
      </c>
      <c r="U21" s="19">
        <f t="shared" si="16"/>
        <v>-0.91324200913242</v>
      </c>
      <c r="V21" s="19">
        <f t="shared" si="17"/>
        <v>-1.63146776799565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438</v>
      </c>
      <c r="AH21" s="41">
        <v>15424.464273</v>
      </c>
      <c r="AI21" s="47">
        <v>440</v>
      </c>
      <c r="AJ21" s="47">
        <v>15301.792006</v>
      </c>
      <c r="AK21" s="47">
        <v>440</v>
      </c>
      <c r="AL21" s="47">
        <v>15301.792006</v>
      </c>
      <c r="AM21" s="41">
        <v>438</v>
      </c>
      <c r="AN21" s="41">
        <v>15424.464273</v>
      </c>
      <c r="AO21" s="41">
        <v>438</v>
      </c>
      <c r="AP21" s="49">
        <v>15424.464273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727</v>
      </c>
      <c r="D22" s="12">
        <v>25540.642682</v>
      </c>
      <c r="E22" s="12">
        <f t="shared" si="1"/>
        <v>1</v>
      </c>
      <c r="F22" s="12">
        <f t="shared" si="2"/>
        <v>287.866563000003</v>
      </c>
      <c r="G22" s="12">
        <f t="shared" si="3"/>
        <v>53</v>
      </c>
      <c r="H22" s="12">
        <f t="shared" si="4"/>
        <v>2196.073714</v>
      </c>
      <c r="I22" s="12">
        <f t="shared" si="5"/>
        <v>53</v>
      </c>
      <c r="J22" s="12">
        <f t="shared" si="6"/>
        <v>2196.073714</v>
      </c>
      <c r="K22" s="12">
        <f t="shared" si="18"/>
        <v>-9</v>
      </c>
      <c r="L22" s="12">
        <f t="shared" si="7"/>
        <v>917.153714000002</v>
      </c>
      <c r="M22" s="19">
        <f t="shared" si="8"/>
        <v>7.86350148367952</v>
      </c>
      <c r="N22" s="19">
        <f t="shared" si="9"/>
        <v>9.40721465883697</v>
      </c>
      <c r="O22" s="12">
        <f t="shared" si="10"/>
        <v>727</v>
      </c>
      <c r="P22" s="12">
        <f t="shared" si="11"/>
        <v>25540.642682</v>
      </c>
      <c r="Q22" s="12">
        <f t="shared" si="12"/>
        <v>53</v>
      </c>
      <c r="R22" s="12">
        <f t="shared" si="13"/>
        <v>2196.073714</v>
      </c>
      <c r="S22" s="12">
        <f t="shared" si="14"/>
        <v>53</v>
      </c>
      <c r="T22" s="12">
        <f t="shared" si="15"/>
        <v>2196.073714</v>
      </c>
      <c r="U22" s="19">
        <f t="shared" si="16"/>
        <v>7.86350148367952</v>
      </c>
      <c r="V22" s="19">
        <f t="shared" si="17"/>
        <v>9.40721465883697</v>
      </c>
      <c r="W22" s="12"/>
      <c r="X22" s="29"/>
      <c r="Y22" s="29"/>
      <c r="Z22" s="29"/>
      <c r="AA22" s="29"/>
      <c r="AB22" s="12"/>
      <c r="AC22" s="29"/>
      <c r="AD22" s="12"/>
      <c r="AE22" s="41">
        <v>674</v>
      </c>
      <c r="AF22" s="41">
        <v>23344.568968</v>
      </c>
      <c r="AG22" s="41">
        <v>674</v>
      </c>
      <c r="AH22" s="41">
        <v>23344.568968</v>
      </c>
      <c r="AI22" s="47">
        <v>726</v>
      </c>
      <c r="AJ22" s="47">
        <v>25252.776119</v>
      </c>
      <c r="AK22" s="47">
        <v>726</v>
      </c>
      <c r="AL22" s="47">
        <v>25252.776119</v>
      </c>
      <c r="AM22" s="41">
        <v>674</v>
      </c>
      <c r="AN22" s="41">
        <v>23344.568968</v>
      </c>
      <c r="AO22" s="41">
        <v>674</v>
      </c>
      <c r="AP22" s="49">
        <v>23344.568968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688</v>
      </c>
      <c r="D23" s="12">
        <v>25410.307315</v>
      </c>
      <c r="E23" s="12">
        <f t="shared" si="1"/>
        <v>0</v>
      </c>
      <c r="F23" s="12">
        <f t="shared" si="2"/>
        <v>-240.5</v>
      </c>
      <c r="G23" s="12">
        <f t="shared" si="3"/>
        <v>-12</v>
      </c>
      <c r="H23" s="12">
        <f t="shared" si="4"/>
        <v>-609.881271000002</v>
      </c>
      <c r="I23" s="12">
        <f t="shared" si="5"/>
        <v>-12</v>
      </c>
      <c r="J23" s="12">
        <f t="shared" si="6"/>
        <v>-609.881271000002</v>
      </c>
      <c r="K23" s="12">
        <f t="shared" si="18"/>
        <v>-54</v>
      </c>
      <c r="L23" s="12">
        <f t="shared" si="7"/>
        <v>-1138.291271</v>
      </c>
      <c r="M23" s="19">
        <f t="shared" si="8"/>
        <v>-1.71428571428571</v>
      </c>
      <c r="N23" s="19">
        <f t="shared" si="9"/>
        <v>-2.34387721281984</v>
      </c>
      <c r="O23" s="12">
        <f t="shared" si="10"/>
        <v>688</v>
      </c>
      <c r="P23" s="12">
        <f t="shared" si="11"/>
        <v>25410.307315</v>
      </c>
      <c r="Q23" s="12">
        <f t="shared" si="12"/>
        <v>-12</v>
      </c>
      <c r="R23" s="12">
        <f t="shared" si="13"/>
        <v>-609.881271000002</v>
      </c>
      <c r="S23" s="12">
        <f t="shared" si="14"/>
        <v>-12</v>
      </c>
      <c r="T23" s="12">
        <f t="shared" si="15"/>
        <v>-609.881271000002</v>
      </c>
      <c r="U23" s="19">
        <f t="shared" si="16"/>
        <v>-1.71428571428571</v>
      </c>
      <c r="V23" s="19">
        <f t="shared" si="17"/>
        <v>-2.34387721281984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700</v>
      </c>
      <c r="AH23" s="41">
        <v>26020.188586</v>
      </c>
      <c r="AI23" s="47">
        <v>688</v>
      </c>
      <c r="AJ23" s="47">
        <v>25650.807315</v>
      </c>
      <c r="AK23" s="47">
        <v>688</v>
      </c>
      <c r="AL23" s="47">
        <v>25650.807315</v>
      </c>
      <c r="AM23" s="41">
        <v>700</v>
      </c>
      <c r="AN23" s="41">
        <v>26020.188586</v>
      </c>
      <c r="AO23" s="41">
        <v>700</v>
      </c>
      <c r="AP23" s="49">
        <v>26020.188586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485</v>
      </c>
      <c r="D24" s="12">
        <v>15561.77</v>
      </c>
      <c r="E24" s="12">
        <f t="shared" si="1"/>
        <v>2</v>
      </c>
      <c r="F24" s="12">
        <f t="shared" si="2"/>
        <v>-5.60000000000036</v>
      </c>
      <c r="G24" s="12">
        <f t="shared" si="3"/>
        <v>14</v>
      </c>
      <c r="H24" s="12">
        <f t="shared" si="4"/>
        <v>973.370000000001</v>
      </c>
      <c r="I24" s="12">
        <f t="shared" si="5"/>
        <v>14</v>
      </c>
      <c r="J24" s="12">
        <f t="shared" si="6"/>
        <v>973.370000000001</v>
      </c>
      <c r="K24" s="12">
        <f t="shared" si="18"/>
        <v>-37</v>
      </c>
      <c r="L24" s="12">
        <f t="shared" si="7"/>
        <v>155.380000000001</v>
      </c>
      <c r="M24" s="19">
        <f t="shared" si="8"/>
        <v>2.9723991507431</v>
      </c>
      <c r="N24" s="19">
        <f t="shared" si="9"/>
        <v>6.67221902333361</v>
      </c>
      <c r="O24" s="12">
        <f t="shared" si="10"/>
        <v>485</v>
      </c>
      <c r="P24" s="12">
        <f t="shared" si="11"/>
        <v>15561.77</v>
      </c>
      <c r="Q24" s="12">
        <f t="shared" si="12"/>
        <v>14</v>
      </c>
      <c r="R24" s="12">
        <f t="shared" si="13"/>
        <v>973.370000000001</v>
      </c>
      <c r="S24" s="30">
        <f t="shared" si="14"/>
        <v>14</v>
      </c>
      <c r="T24" s="12">
        <f t="shared" si="15"/>
        <v>973.370000000001</v>
      </c>
      <c r="U24" s="19">
        <f t="shared" si="16"/>
        <v>2.9723991507431</v>
      </c>
      <c r="V24" s="19">
        <f t="shared" si="17"/>
        <v>6.67221902333361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471</v>
      </c>
      <c r="AH24" s="41">
        <v>14588.4</v>
      </c>
      <c r="AI24" s="47">
        <v>483</v>
      </c>
      <c r="AJ24" s="47">
        <v>15567.37</v>
      </c>
      <c r="AK24" s="47">
        <v>483</v>
      </c>
      <c r="AL24" s="47">
        <v>15567.37</v>
      </c>
      <c r="AM24" s="41">
        <v>471</v>
      </c>
      <c r="AN24" s="41">
        <v>14588.4</v>
      </c>
      <c r="AO24" s="41">
        <v>471</v>
      </c>
      <c r="AP24" s="49">
        <v>14588.4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494</v>
      </c>
      <c r="D25" s="12">
        <v>15579.850899</v>
      </c>
      <c r="E25" s="12">
        <f t="shared" si="1"/>
        <v>3</v>
      </c>
      <c r="F25" s="12">
        <f t="shared" si="2"/>
        <v>25.0359509999998</v>
      </c>
      <c r="G25" s="12">
        <f t="shared" si="3"/>
        <v>12</v>
      </c>
      <c r="H25" s="12">
        <f t="shared" si="4"/>
        <v>-547.026117000001</v>
      </c>
      <c r="I25" s="12">
        <f t="shared" si="5"/>
        <v>12</v>
      </c>
      <c r="J25" s="12">
        <f t="shared" si="6"/>
        <v>-547.026117000001</v>
      </c>
      <c r="K25" s="12">
        <f t="shared" si="18"/>
        <v>-13</v>
      </c>
      <c r="L25" s="12">
        <f t="shared" si="7"/>
        <v>-1428.206117</v>
      </c>
      <c r="M25" s="19">
        <f t="shared" si="8"/>
        <v>2.4896265560166</v>
      </c>
      <c r="N25" s="19">
        <f t="shared" si="9"/>
        <v>-3.39201518345603</v>
      </c>
      <c r="O25" s="12">
        <f t="shared" si="10"/>
        <v>494</v>
      </c>
      <c r="P25" s="12">
        <f t="shared" si="11"/>
        <v>15579.850899</v>
      </c>
      <c r="Q25" s="12">
        <f t="shared" si="12"/>
        <v>12</v>
      </c>
      <c r="R25" s="12">
        <f t="shared" si="13"/>
        <v>-547.026117000001</v>
      </c>
      <c r="S25" s="12">
        <f t="shared" si="14"/>
        <v>12</v>
      </c>
      <c r="T25" s="12">
        <f t="shared" si="15"/>
        <v>-547.026117000001</v>
      </c>
      <c r="U25" s="19">
        <f t="shared" si="16"/>
        <v>2.4896265560166</v>
      </c>
      <c r="V25" s="19">
        <f t="shared" si="17"/>
        <v>-3.39201518345603</v>
      </c>
      <c r="W25" s="12"/>
      <c r="X25" s="29"/>
      <c r="Y25" s="29"/>
      <c r="Z25" s="29"/>
      <c r="AA25" s="29"/>
      <c r="AB25" s="12"/>
      <c r="AC25" s="29"/>
      <c r="AD25" s="12"/>
      <c r="AE25" s="41">
        <v>482</v>
      </c>
      <c r="AF25" s="41">
        <v>16126.877016</v>
      </c>
      <c r="AG25" s="41">
        <v>482</v>
      </c>
      <c r="AH25" s="41">
        <v>16126.877016</v>
      </c>
      <c r="AI25" s="47">
        <v>491</v>
      </c>
      <c r="AJ25" s="47">
        <v>15554.814948</v>
      </c>
      <c r="AK25" s="47">
        <v>491</v>
      </c>
      <c r="AL25" s="47">
        <v>15554.814948</v>
      </c>
      <c r="AM25" s="41">
        <v>482</v>
      </c>
      <c r="AN25" s="41">
        <v>16126.877016</v>
      </c>
      <c r="AO25" s="41">
        <v>482</v>
      </c>
      <c r="AP25" s="49">
        <v>16126.877016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267</v>
      </c>
      <c r="D26" s="12">
        <v>10329.573489</v>
      </c>
      <c r="E26" s="12">
        <f t="shared" si="1"/>
        <v>-1</v>
      </c>
      <c r="F26" s="12">
        <f t="shared" si="2"/>
        <v>-53.6848759999993</v>
      </c>
      <c r="G26" s="12">
        <f t="shared" si="3"/>
        <v>-10</v>
      </c>
      <c r="H26" s="12">
        <f t="shared" si="4"/>
        <v>-492.852065999999</v>
      </c>
      <c r="I26" s="12">
        <f t="shared" si="5"/>
        <v>-10</v>
      </c>
      <c r="J26" s="12">
        <f t="shared" si="6"/>
        <v>-492.852065999999</v>
      </c>
      <c r="K26" s="12">
        <f t="shared" si="18"/>
        <v>-30</v>
      </c>
      <c r="L26" s="12">
        <f t="shared" si="7"/>
        <v>-1196.862066</v>
      </c>
      <c r="M26" s="19">
        <f t="shared" si="8"/>
        <v>-3.6101083032491</v>
      </c>
      <c r="N26" s="19">
        <f t="shared" si="9"/>
        <v>-4.55398896943486</v>
      </c>
      <c r="O26" s="12">
        <f t="shared" si="10"/>
        <v>267</v>
      </c>
      <c r="P26" s="12">
        <f t="shared" si="11"/>
        <v>10329.573489</v>
      </c>
      <c r="Q26" s="12">
        <f t="shared" si="12"/>
        <v>-10</v>
      </c>
      <c r="R26" s="12">
        <f t="shared" si="13"/>
        <v>-492.852065999999</v>
      </c>
      <c r="S26" s="12">
        <f t="shared" si="14"/>
        <v>-10</v>
      </c>
      <c r="T26" s="12">
        <f t="shared" si="15"/>
        <v>-492.852065999999</v>
      </c>
      <c r="U26" s="19">
        <f t="shared" si="16"/>
        <v>-3.6101083032491</v>
      </c>
      <c r="V26" s="19">
        <f t="shared" si="17"/>
        <v>-4.55398896943486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277</v>
      </c>
      <c r="AH26" s="41">
        <v>10822.425555</v>
      </c>
      <c r="AI26" s="47">
        <v>268</v>
      </c>
      <c r="AJ26" s="47">
        <v>10383.258365</v>
      </c>
      <c r="AK26" s="47">
        <v>268</v>
      </c>
      <c r="AL26" s="47">
        <v>10383.258365</v>
      </c>
      <c r="AM26" s="41">
        <v>277</v>
      </c>
      <c r="AN26" s="41">
        <v>10822.425555</v>
      </c>
      <c r="AO26" s="41">
        <v>277</v>
      </c>
      <c r="AP26" s="49">
        <v>10822.425555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332</v>
      </c>
      <c r="D27" s="12">
        <v>10813.293604</v>
      </c>
      <c r="E27" s="12">
        <f t="shared" si="1"/>
        <v>2</v>
      </c>
      <c r="F27" s="12">
        <f t="shared" si="2"/>
        <v>77.7600000000002</v>
      </c>
      <c r="G27" s="12">
        <f t="shared" si="3"/>
        <v>4</v>
      </c>
      <c r="H27" s="12">
        <f t="shared" si="4"/>
        <v>-605.171355999999</v>
      </c>
      <c r="I27" s="12">
        <f t="shared" si="5"/>
        <v>4</v>
      </c>
      <c r="J27" s="12">
        <f t="shared" si="6"/>
        <v>-605.171355999999</v>
      </c>
      <c r="K27" s="12">
        <f t="shared" si="18"/>
        <v>-28</v>
      </c>
      <c r="L27" s="12">
        <f t="shared" si="7"/>
        <v>-1229.441356</v>
      </c>
      <c r="M27" s="19">
        <f t="shared" si="8"/>
        <v>1.21951219512195</v>
      </c>
      <c r="N27" s="19">
        <f t="shared" si="9"/>
        <v>-5.29993618336592</v>
      </c>
      <c r="O27" s="12">
        <f t="shared" si="10"/>
        <v>332</v>
      </c>
      <c r="P27" s="12">
        <f t="shared" si="11"/>
        <v>10813.293604</v>
      </c>
      <c r="Q27" s="12">
        <f t="shared" si="12"/>
        <v>4</v>
      </c>
      <c r="R27" s="12">
        <f t="shared" si="13"/>
        <v>-605.171355999999</v>
      </c>
      <c r="S27" s="12">
        <f t="shared" si="14"/>
        <v>4</v>
      </c>
      <c r="T27" s="12">
        <f t="shared" si="15"/>
        <v>-605.171355999999</v>
      </c>
      <c r="U27" s="19">
        <f t="shared" si="16"/>
        <v>1.21951219512195</v>
      </c>
      <c r="V27" s="19">
        <f t="shared" si="17"/>
        <v>-5.29993618336592</v>
      </c>
      <c r="W27" s="12"/>
      <c r="X27" s="29"/>
      <c r="Y27" s="29"/>
      <c r="Z27" s="29"/>
      <c r="AA27" s="29"/>
      <c r="AB27" s="12"/>
      <c r="AC27" s="29"/>
      <c r="AD27" s="12"/>
      <c r="AE27" s="41">
        <v>328</v>
      </c>
      <c r="AF27" s="41">
        <v>11418.46496</v>
      </c>
      <c r="AG27" s="41">
        <v>328</v>
      </c>
      <c r="AH27" s="41">
        <v>11418.46496</v>
      </c>
      <c r="AI27" s="47">
        <v>330</v>
      </c>
      <c r="AJ27" s="47">
        <v>10735.533604</v>
      </c>
      <c r="AK27" s="47">
        <v>330</v>
      </c>
      <c r="AL27" s="47">
        <v>10735.533604</v>
      </c>
      <c r="AM27" s="41">
        <v>328</v>
      </c>
      <c r="AN27" s="41">
        <v>11418.46496</v>
      </c>
      <c r="AO27" s="41">
        <v>328</v>
      </c>
      <c r="AP27" s="49">
        <v>11418.46496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370</v>
      </c>
      <c r="D28" s="12">
        <v>19474.126756</v>
      </c>
      <c r="E28" s="12">
        <f t="shared" si="1"/>
        <v>2</v>
      </c>
      <c r="F28" s="12">
        <f t="shared" si="2"/>
        <v>-73.8899999999994</v>
      </c>
      <c r="G28" s="12">
        <f t="shared" si="3"/>
        <v>8</v>
      </c>
      <c r="H28" s="12">
        <f t="shared" si="4"/>
        <v>-577.684283999999</v>
      </c>
      <c r="I28" s="12">
        <f t="shared" si="5"/>
        <v>8</v>
      </c>
      <c r="J28" s="12">
        <f t="shared" si="6"/>
        <v>-577.684283999999</v>
      </c>
      <c r="K28" s="12">
        <f t="shared" si="18"/>
        <v>-32</v>
      </c>
      <c r="L28" s="12">
        <f t="shared" si="7"/>
        <v>-1458.414284</v>
      </c>
      <c r="M28" s="19">
        <f t="shared" si="8"/>
        <v>2.20994475138122</v>
      </c>
      <c r="N28" s="19">
        <f t="shared" si="9"/>
        <v>-2.8809581481075</v>
      </c>
      <c r="O28" s="12">
        <f t="shared" si="10"/>
        <v>370</v>
      </c>
      <c r="P28" s="12">
        <f t="shared" si="11"/>
        <v>19474.126756</v>
      </c>
      <c r="Q28" s="12">
        <f t="shared" si="12"/>
        <v>8</v>
      </c>
      <c r="R28" s="12">
        <f t="shared" si="13"/>
        <v>-577.684283999999</v>
      </c>
      <c r="S28" s="12">
        <f t="shared" si="14"/>
        <v>8</v>
      </c>
      <c r="T28" s="12">
        <f t="shared" si="15"/>
        <v>-577.684283999999</v>
      </c>
      <c r="U28" s="19">
        <f t="shared" si="16"/>
        <v>2.20994475138122</v>
      </c>
      <c r="V28" s="19">
        <f t="shared" si="17"/>
        <v>-2.8809581481075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362</v>
      </c>
      <c r="AH28" s="41">
        <v>20051.81104</v>
      </c>
      <c r="AI28" s="47">
        <v>368</v>
      </c>
      <c r="AJ28" s="47">
        <v>19548.016756</v>
      </c>
      <c r="AK28" s="47">
        <v>368</v>
      </c>
      <c r="AL28" s="47">
        <v>19548.016756</v>
      </c>
      <c r="AM28" s="41">
        <v>362</v>
      </c>
      <c r="AN28" s="41">
        <v>20051.81104</v>
      </c>
      <c r="AO28" s="41">
        <v>362</v>
      </c>
      <c r="AP28" s="49">
        <v>20051.81104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332</v>
      </c>
      <c r="D29" s="12">
        <v>11557.759473</v>
      </c>
      <c r="E29" s="12">
        <f t="shared" si="1"/>
        <v>3</v>
      </c>
      <c r="F29" s="12">
        <f t="shared" si="2"/>
        <v>429.988355</v>
      </c>
      <c r="G29" s="12">
        <f t="shared" si="3"/>
        <v>4</v>
      </c>
      <c r="H29" s="12">
        <f t="shared" si="4"/>
        <v>-436.903135</v>
      </c>
      <c r="I29" s="12">
        <f t="shared" si="5"/>
        <v>4</v>
      </c>
      <c r="J29" s="12">
        <f t="shared" si="6"/>
        <v>-436.903135</v>
      </c>
      <c r="K29" s="12">
        <f t="shared" si="18"/>
        <v>-31</v>
      </c>
      <c r="L29" s="12">
        <f t="shared" si="7"/>
        <v>-984.613135000001</v>
      </c>
      <c r="M29" s="19">
        <f t="shared" si="8"/>
        <v>1.21951219512195</v>
      </c>
      <c r="N29" s="19">
        <f t="shared" si="9"/>
        <v>-3.64247957010981</v>
      </c>
      <c r="O29" s="12">
        <f t="shared" si="10"/>
        <v>333</v>
      </c>
      <c r="P29" s="12">
        <f t="shared" si="11"/>
        <v>12057.759473</v>
      </c>
      <c r="Q29" s="12">
        <f t="shared" si="12"/>
        <v>5</v>
      </c>
      <c r="R29" s="12">
        <f t="shared" si="13"/>
        <v>63.0968649999995</v>
      </c>
      <c r="S29" s="12">
        <f t="shared" si="14"/>
        <v>5</v>
      </c>
      <c r="T29" s="12">
        <f t="shared" si="15"/>
        <v>63.0968649999995</v>
      </c>
      <c r="U29" s="19">
        <f t="shared" si="16"/>
        <v>1.52439024390244</v>
      </c>
      <c r="V29" s="19">
        <f t="shared" si="17"/>
        <v>0.526041182333184</v>
      </c>
      <c r="W29" s="12">
        <v>1</v>
      </c>
      <c r="X29" s="29">
        <v>500</v>
      </c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328</v>
      </c>
      <c r="AH29" s="41">
        <v>11994.662608</v>
      </c>
      <c r="AI29" s="47">
        <v>329</v>
      </c>
      <c r="AJ29" s="47">
        <v>11127.771118</v>
      </c>
      <c r="AK29" s="47">
        <v>330</v>
      </c>
      <c r="AL29" s="47">
        <v>11627.771118</v>
      </c>
      <c r="AM29" s="41">
        <v>328</v>
      </c>
      <c r="AN29" s="41">
        <v>11994.662608</v>
      </c>
      <c r="AO29" s="41">
        <v>328</v>
      </c>
      <c r="AP29" s="49">
        <v>11994.662608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365</v>
      </c>
      <c r="D30" s="12">
        <v>10054.042895</v>
      </c>
      <c r="E30" s="12">
        <f t="shared" si="1"/>
        <v>-2</v>
      </c>
      <c r="F30" s="12">
        <f t="shared" si="2"/>
        <v>-61.5</v>
      </c>
      <c r="G30" s="12">
        <f t="shared" si="3"/>
        <v>42</v>
      </c>
      <c r="H30" s="12">
        <f t="shared" si="4"/>
        <v>934.804745000001</v>
      </c>
      <c r="I30" s="12">
        <f t="shared" si="5"/>
        <v>42</v>
      </c>
      <c r="J30" s="12">
        <f t="shared" si="6"/>
        <v>934.804745000001</v>
      </c>
      <c r="K30" s="12">
        <f t="shared" si="18"/>
        <v>-53</v>
      </c>
      <c r="L30" s="12">
        <f t="shared" si="7"/>
        <v>-85.3352549999987</v>
      </c>
      <c r="M30" s="19">
        <f t="shared" si="8"/>
        <v>13.0030959752322</v>
      </c>
      <c r="N30" s="19">
        <f t="shared" si="9"/>
        <v>10.2509083502771</v>
      </c>
      <c r="O30" s="12">
        <f t="shared" si="10"/>
        <v>365</v>
      </c>
      <c r="P30" s="12">
        <f t="shared" si="11"/>
        <v>10054.042895</v>
      </c>
      <c r="Q30" s="12">
        <f t="shared" si="12"/>
        <v>42</v>
      </c>
      <c r="R30" s="12">
        <f t="shared" si="13"/>
        <v>934.804745000001</v>
      </c>
      <c r="S30" s="12">
        <f t="shared" si="14"/>
        <v>42</v>
      </c>
      <c r="T30" s="12">
        <f t="shared" si="15"/>
        <v>934.804745000001</v>
      </c>
      <c r="U30" s="19">
        <f t="shared" si="16"/>
        <v>13.0030959752322</v>
      </c>
      <c r="V30" s="19">
        <f t="shared" si="17"/>
        <v>10.2509083502771</v>
      </c>
      <c r="W30" s="12"/>
      <c r="X30" s="29"/>
      <c r="Y30" s="29"/>
      <c r="Z30" s="29"/>
      <c r="AA30" s="29"/>
      <c r="AB30" s="12"/>
      <c r="AC30" s="29"/>
      <c r="AD30" s="12"/>
      <c r="AE30" s="41">
        <v>323</v>
      </c>
      <c r="AF30" s="41">
        <v>9119.23815</v>
      </c>
      <c r="AG30" s="41">
        <v>323</v>
      </c>
      <c r="AH30" s="41">
        <v>9119.23815</v>
      </c>
      <c r="AI30" s="47">
        <v>367</v>
      </c>
      <c r="AJ30" s="47">
        <v>10115.542895</v>
      </c>
      <c r="AK30" s="47">
        <v>367</v>
      </c>
      <c r="AL30" s="47">
        <v>10115.542895</v>
      </c>
      <c r="AM30" s="41">
        <v>323</v>
      </c>
      <c r="AN30" s="41">
        <v>9119.23815</v>
      </c>
      <c r="AO30" s="41">
        <v>323</v>
      </c>
      <c r="AP30" s="49">
        <v>9119.23815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361</v>
      </c>
      <c r="D31" s="12">
        <v>10546.287668</v>
      </c>
      <c r="E31" s="12">
        <f t="shared" si="1"/>
        <v>-5</v>
      </c>
      <c r="F31" s="12">
        <f t="shared" si="2"/>
        <v>-203.519999999999</v>
      </c>
      <c r="G31" s="12">
        <f t="shared" si="3"/>
        <v>-4</v>
      </c>
      <c r="H31" s="12">
        <f t="shared" si="4"/>
        <v>-535.222066999999</v>
      </c>
      <c r="I31" s="12">
        <f t="shared" si="5"/>
        <v>-4</v>
      </c>
      <c r="J31" s="12">
        <f t="shared" si="6"/>
        <v>-535.222066999999</v>
      </c>
      <c r="K31" s="12">
        <f t="shared" si="18"/>
        <v>-52</v>
      </c>
      <c r="L31" s="12">
        <f t="shared" si="7"/>
        <v>-1045.192067</v>
      </c>
      <c r="M31" s="19">
        <f t="shared" si="8"/>
        <v>-1.0958904109589</v>
      </c>
      <c r="N31" s="19">
        <f t="shared" si="9"/>
        <v>-4.82986596410727</v>
      </c>
      <c r="O31" s="12">
        <f t="shared" si="10"/>
        <v>361</v>
      </c>
      <c r="P31" s="12">
        <f t="shared" si="11"/>
        <v>10546.287668</v>
      </c>
      <c r="Q31" s="12">
        <f t="shared" si="12"/>
        <v>-4</v>
      </c>
      <c r="R31" s="12">
        <f t="shared" si="13"/>
        <v>-535.222066999999</v>
      </c>
      <c r="S31" s="12">
        <f t="shared" si="14"/>
        <v>-4</v>
      </c>
      <c r="T31" s="12">
        <f t="shared" si="15"/>
        <v>-535.222066999999</v>
      </c>
      <c r="U31" s="19">
        <f t="shared" si="16"/>
        <v>-1.0958904109589</v>
      </c>
      <c r="V31" s="19">
        <f t="shared" si="17"/>
        <v>-4.82986596410727</v>
      </c>
      <c r="W31" s="12"/>
      <c r="X31" s="29"/>
      <c r="Y31" s="29"/>
      <c r="Z31" s="29"/>
      <c r="AA31" s="29"/>
      <c r="AB31" s="12"/>
      <c r="AC31" s="29"/>
      <c r="AD31" s="12"/>
      <c r="AE31" s="41">
        <v>365</v>
      </c>
      <c r="AF31" s="41">
        <v>11081.509735</v>
      </c>
      <c r="AG31" s="41">
        <v>365</v>
      </c>
      <c r="AH31" s="41">
        <v>11081.509735</v>
      </c>
      <c r="AI31" s="47">
        <v>366</v>
      </c>
      <c r="AJ31" s="47">
        <v>10749.807668</v>
      </c>
      <c r="AK31" s="47">
        <v>366</v>
      </c>
      <c r="AL31" s="47">
        <v>10749.807668</v>
      </c>
      <c r="AM31" s="41">
        <v>365</v>
      </c>
      <c r="AN31" s="41">
        <v>11081.509735</v>
      </c>
      <c r="AO31" s="41">
        <v>365</v>
      </c>
      <c r="AP31" s="49">
        <v>11081.509735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518</v>
      </c>
      <c r="D32" s="12">
        <v>12820.896446</v>
      </c>
      <c r="E32" s="12">
        <f t="shared" si="1"/>
        <v>2</v>
      </c>
      <c r="F32" s="12">
        <f t="shared" si="2"/>
        <v>335.166674</v>
      </c>
      <c r="G32" s="12">
        <f t="shared" si="3"/>
        <v>18</v>
      </c>
      <c r="H32" s="12">
        <f t="shared" si="4"/>
        <v>370.230944000001</v>
      </c>
      <c r="I32" s="12">
        <f t="shared" si="5"/>
        <v>18</v>
      </c>
      <c r="J32" s="12">
        <f t="shared" si="6"/>
        <v>370.230944000001</v>
      </c>
      <c r="K32" s="12">
        <f t="shared" si="18"/>
        <v>-42</v>
      </c>
      <c r="L32" s="12">
        <f t="shared" si="7"/>
        <v>18.3409440000018</v>
      </c>
      <c r="M32" s="19">
        <f t="shared" si="8"/>
        <v>3.6</v>
      </c>
      <c r="N32" s="19">
        <f t="shared" si="9"/>
        <v>2.97358357222374</v>
      </c>
      <c r="O32" s="12">
        <f t="shared" si="10"/>
        <v>518</v>
      </c>
      <c r="P32" s="12">
        <f t="shared" si="11"/>
        <v>12820.896446</v>
      </c>
      <c r="Q32" s="12">
        <f t="shared" si="12"/>
        <v>18</v>
      </c>
      <c r="R32" s="12">
        <f t="shared" si="13"/>
        <v>370.230944000001</v>
      </c>
      <c r="S32" s="30">
        <f t="shared" si="14"/>
        <v>18</v>
      </c>
      <c r="T32" s="12">
        <f t="shared" si="15"/>
        <v>370.230944000001</v>
      </c>
      <c r="U32" s="19">
        <f t="shared" si="16"/>
        <v>3.6</v>
      </c>
      <c r="V32" s="19">
        <f t="shared" si="17"/>
        <v>2.97358357222374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500</v>
      </c>
      <c r="AH32" s="41">
        <v>12450.665502</v>
      </c>
      <c r="AI32" s="47">
        <v>516</v>
      </c>
      <c r="AJ32" s="47">
        <v>12485.729772</v>
      </c>
      <c r="AK32" s="47">
        <v>516</v>
      </c>
      <c r="AL32" s="47">
        <v>12485.729772</v>
      </c>
      <c r="AM32" s="41">
        <v>500</v>
      </c>
      <c r="AN32" s="41">
        <v>12450.665502</v>
      </c>
      <c r="AO32" s="41">
        <v>500</v>
      </c>
      <c r="AP32" s="49">
        <v>12450.665502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2116</v>
      </c>
      <c r="D33" s="12">
        <v>91667.146642</v>
      </c>
      <c r="E33" s="12">
        <f t="shared" si="1"/>
        <v>-4</v>
      </c>
      <c r="F33" s="12">
        <f t="shared" si="2"/>
        <v>-549.690653999991</v>
      </c>
      <c r="G33" s="12">
        <f t="shared" si="3"/>
        <v>-24</v>
      </c>
      <c r="H33" s="12">
        <f t="shared" si="4"/>
        <v>-7059.6832019999</v>
      </c>
      <c r="I33" s="12">
        <f t="shared" si="5"/>
        <v>-24</v>
      </c>
      <c r="J33" s="12">
        <f t="shared" si="6"/>
        <v>-7059.6832019999</v>
      </c>
      <c r="K33" s="12">
        <f t="shared" si="18"/>
        <v>-55</v>
      </c>
      <c r="L33" s="12">
        <f t="shared" si="7"/>
        <v>-5718.7632019999</v>
      </c>
      <c r="M33" s="19">
        <f t="shared" si="8"/>
        <v>-1.1214953271028</v>
      </c>
      <c r="N33" s="19">
        <f t="shared" si="9"/>
        <v>-7.15072408701367</v>
      </c>
      <c r="O33" s="12">
        <f t="shared" si="10"/>
        <v>2116</v>
      </c>
      <c r="P33" s="12">
        <f t="shared" si="11"/>
        <v>91667.146642</v>
      </c>
      <c r="Q33" s="12">
        <f t="shared" si="12"/>
        <v>-24</v>
      </c>
      <c r="R33" s="12">
        <f t="shared" si="13"/>
        <v>-7059.6832019999</v>
      </c>
      <c r="S33" s="30">
        <f t="shared" si="14"/>
        <v>-24</v>
      </c>
      <c r="T33" s="12">
        <f t="shared" si="15"/>
        <v>-7059.6832019999</v>
      </c>
      <c r="U33" s="19">
        <f t="shared" si="16"/>
        <v>-1.1214953271028</v>
      </c>
      <c r="V33" s="19">
        <f t="shared" si="17"/>
        <v>-7.15072408701367</v>
      </c>
      <c r="W33" s="12"/>
      <c r="X33" s="29"/>
      <c r="Y33" s="29"/>
      <c r="Z33" s="29"/>
      <c r="AA33" s="29"/>
      <c r="AB33" s="12"/>
      <c r="AC33" s="29"/>
      <c r="AD33" s="12"/>
      <c r="AE33" s="41">
        <v>2140</v>
      </c>
      <c r="AF33" s="41">
        <v>98726.8298439999</v>
      </c>
      <c r="AG33" s="41">
        <v>2140</v>
      </c>
      <c r="AH33" s="41">
        <v>98726.8298439999</v>
      </c>
      <c r="AI33" s="47">
        <v>2120</v>
      </c>
      <c r="AJ33" s="47">
        <v>92216.837296</v>
      </c>
      <c r="AK33" s="47">
        <v>2120</v>
      </c>
      <c r="AL33" s="47">
        <v>92216.837296</v>
      </c>
      <c r="AM33" s="41">
        <v>2140</v>
      </c>
      <c r="AN33" s="41">
        <v>98726.8298439999</v>
      </c>
      <c r="AO33" s="41">
        <v>2140</v>
      </c>
      <c r="AP33" s="49">
        <v>98726.8298439999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621</v>
      </c>
      <c r="D34" s="12">
        <v>28102.251695</v>
      </c>
      <c r="E34" s="12">
        <f t="shared" si="1"/>
        <v>-2</v>
      </c>
      <c r="F34" s="12">
        <f t="shared" si="2"/>
        <v>18.2103659999993</v>
      </c>
      <c r="G34" s="12">
        <f t="shared" si="3"/>
        <v>12</v>
      </c>
      <c r="H34" s="12">
        <f t="shared" si="4"/>
        <v>821.547885</v>
      </c>
      <c r="I34" s="12">
        <f t="shared" si="5"/>
        <v>12</v>
      </c>
      <c r="J34" s="12">
        <f t="shared" si="6"/>
        <v>821.547885</v>
      </c>
      <c r="K34" s="12">
        <f t="shared" si="18"/>
        <v>-20</v>
      </c>
      <c r="L34" s="12">
        <f t="shared" si="7"/>
        <v>-433.972115</v>
      </c>
      <c r="M34" s="19">
        <f t="shared" si="8"/>
        <v>1.97044334975369</v>
      </c>
      <c r="N34" s="19">
        <f t="shared" si="9"/>
        <v>3.01146147372801</v>
      </c>
      <c r="O34" s="12">
        <f t="shared" si="10"/>
        <v>621</v>
      </c>
      <c r="P34" s="12">
        <f t="shared" si="11"/>
        <v>28102.251695</v>
      </c>
      <c r="Q34" s="12">
        <f t="shared" si="12"/>
        <v>12</v>
      </c>
      <c r="R34" s="12">
        <f t="shared" si="13"/>
        <v>821.547885</v>
      </c>
      <c r="S34" s="12">
        <f t="shared" si="14"/>
        <v>12</v>
      </c>
      <c r="T34" s="12">
        <f t="shared" si="15"/>
        <v>821.547885</v>
      </c>
      <c r="U34" s="19">
        <f t="shared" si="16"/>
        <v>1.97044334975369</v>
      </c>
      <c r="V34" s="19">
        <f t="shared" si="17"/>
        <v>3.01146147372801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609</v>
      </c>
      <c r="AH34" s="41">
        <v>27280.70381</v>
      </c>
      <c r="AI34" s="47">
        <v>623</v>
      </c>
      <c r="AJ34" s="47">
        <v>28084.041329</v>
      </c>
      <c r="AK34" s="47">
        <v>623</v>
      </c>
      <c r="AL34" s="47">
        <v>28084.041329</v>
      </c>
      <c r="AM34" s="41">
        <v>609</v>
      </c>
      <c r="AN34" s="41">
        <v>27280.70381</v>
      </c>
      <c r="AO34" s="41">
        <v>609</v>
      </c>
      <c r="AP34" s="49">
        <v>27280.70381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2490</v>
      </c>
      <c r="D35" s="12">
        <v>96666</v>
      </c>
      <c r="E35" s="12">
        <f t="shared" si="1"/>
        <v>2</v>
      </c>
      <c r="F35" s="12">
        <f t="shared" si="2"/>
        <v>608</v>
      </c>
      <c r="G35" s="12">
        <f t="shared" si="3"/>
        <v>-31</v>
      </c>
      <c r="H35" s="12">
        <f t="shared" si="4"/>
        <v>-738</v>
      </c>
      <c r="I35" s="12">
        <f t="shared" si="5"/>
        <v>-31</v>
      </c>
      <c r="J35" s="12">
        <f t="shared" si="6"/>
        <v>-738</v>
      </c>
      <c r="K35" s="12">
        <f t="shared" si="18"/>
        <v>-154</v>
      </c>
      <c r="L35" s="12">
        <f t="shared" si="7"/>
        <v>-6052</v>
      </c>
      <c r="M35" s="19">
        <f t="shared" si="8"/>
        <v>-1.22967076556922</v>
      </c>
      <c r="N35" s="19">
        <f t="shared" si="9"/>
        <v>-0.75766908956511</v>
      </c>
      <c r="O35" s="12">
        <f t="shared" si="10"/>
        <v>2490</v>
      </c>
      <c r="P35" s="12">
        <f t="shared" si="11"/>
        <v>96666</v>
      </c>
      <c r="Q35" s="12">
        <f t="shared" si="12"/>
        <v>-31</v>
      </c>
      <c r="R35" s="12">
        <f t="shared" si="13"/>
        <v>-738</v>
      </c>
      <c r="S35" s="12">
        <f t="shared" si="14"/>
        <v>-31</v>
      </c>
      <c r="T35" s="12">
        <f t="shared" si="15"/>
        <v>-738</v>
      </c>
      <c r="U35" s="19">
        <f t="shared" si="16"/>
        <v>-1.22967076556922</v>
      </c>
      <c r="V35" s="19">
        <f t="shared" si="17"/>
        <v>-0.75766908956511</v>
      </c>
      <c r="W35" s="12"/>
      <c r="X35" s="29"/>
      <c r="Y35" s="29"/>
      <c r="Z35" s="29"/>
      <c r="AA35" s="29"/>
      <c r="AB35" s="12"/>
      <c r="AC35" s="29"/>
      <c r="AD35" s="12"/>
      <c r="AE35" s="41">
        <v>2521</v>
      </c>
      <c r="AF35" s="41">
        <v>97404</v>
      </c>
      <c r="AG35" s="41">
        <v>2521</v>
      </c>
      <c r="AH35" s="41">
        <v>97404</v>
      </c>
      <c r="AI35" s="47">
        <v>2488</v>
      </c>
      <c r="AJ35" s="47">
        <v>96058</v>
      </c>
      <c r="AK35" s="47">
        <v>2488</v>
      </c>
      <c r="AL35" s="47">
        <v>96058</v>
      </c>
      <c r="AM35" s="41">
        <v>2521</v>
      </c>
      <c r="AN35" s="41">
        <v>97404</v>
      </c>
      <c r="AO35" s="41">
        <v>2521</v>
      </c>
      <c r="AP35" s="49">
        <v>97404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2534</v>
      </c>
      <c r="D36" s="12">
        <v>84062</v>
      </c>
      <c r="E36" s="12">
        <f t="shared" si="1"/>
        <v>-4</v>
      </c>
      <c r="F36" s="12">
        <f t="shared" si="2"/>
        <v>-176</v>
      </c>
      <c r="G36" s="12">
        <f t="shared" si="3"/>
        <v>-9</v>
      </c>
      <c r="H36" s="12">
        <f t="shared" si="4"/>
        <v>-503</v>
      </c>
      <c r="I36" s="12">
        <f t="shared" si="5"/>
        <v>-9</v>
      </c>
      <c r="J36" s="12">
        <f t="shared" si="6"/>
        <v>-503</v>
      </c>
      <c r="K36" s="12">
        <f t="shared" si="18"/>
        <v>-12</v>
      </c>
      <c r="L36" s="12">
        <f t="shared" si="7"/>
        <v>-509</v>
      </c>
      <c r="M36" s="19">
        <f t="shared" si="8"/>
        <v>-0.353912701533622</v>
      </c>
      <c r="N36" s="19">
        <f t="shared" si="9"/>
        <v>-0.594808727014722</v>
      </c>
      <c r="O36" s="12">
        <f t="shared" si="10"/>
        <v>2534</v>
      </c>
      <c r="P36" s="12">
        <f t="shared" si="11"/>
        <v>84062</v>
      </c>
      <c r="Q36" s="12">
        <f t="shared" si="12"/>
        <v>-9</v>
      </c>
      <c r="R36" s="12">
        <f t="shared" si="13"/>
        <v>-503</v>
      </c>
      <c r="S36" s="12">
        <f t="shared" si="14"/>
        <v>-9</v>
      </c>
      <c r="T36" s="12">
        <f t="shared" si="15"/>
        <v>-503</v>
      </c>
      <c r="U36" s="19">
        <f t="shared" si="16"/>
        <v>-0.353912701533622</v>
      </c>
      <c r="V36" s="19">
        <f t="shared" si="17"/>
        <v>-0.594808727014722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2543</v>
      </c>
      <c r="AH36" s="49">
        <v>84565</v>
      </c>
      <c r="AI36" s="47">
        <v>2538</v>
      </c>
      <c r="AJ36" s="47">
        <v>84238</v>
      </c>
      <c r="AK36" s="47">
        <v>2538</v>
      </c>
      <c r="AL36" s="47">
        <v>84238</v>
      </c>
      <c r="AM36" s="41">
        <v>2543</v>
      </c>
      <c r="AN36" s="41">
        <v>84565</v>
      </c>
      <c r="AO36" s="41">
        <v>2543</v>
      </c>
      <c r="AP36" s="49">
        <v>84565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307</v>
      </c>
      <c r="D37" s="12">
        <v>13348.488856</v>
      </c>
      <c r="E37" s="12">
        <f t="shared" si="1"/>
        <v>2</v>
      </c>
      <c r="F37" s="12">
        <f t="shared" si="2"/>
        <v>19.8500000000004</v>
      </c>
      <c r="G37" s="12">
        <f t="shared" si="3"/>
        <v>14</v>
      </c>
      <c r="H37" s="12">
        <f t="shared" si="4"/>
        <v>-304.690000000001</v>
      </c>
      <c r="I37" s="12">
        <f t="shared" si="5"/>
        <v>14</v>
      </c>
      <c r="J37" s="12">
        <f t="shared" si="6"/>
        <v>-304.690000000001</v>
      </c>
      <c r="K37" s="12">
        <f t="shared" si="18"/>
        <v>-30</v>
      </c>
      <c r="L37" s="12">
        <f t="shared" si="7"/>
        <v>-1310.3</v>
      </c>
      <c r="M37" s="19">
        <f t="shared" si="8"/>
        <v>4.77815699658703</v>
      </c>
      <c r="N37" s="19">
        <f t="shared" si="9"/>
        <v>-2.23164146030433</v>
      </c>
      <c r="O37" s="12">
        <f t="shared" si="10"/>
        <v>307</v>
      </c>
      <c r="P37" s="12">
        <f t="shared" si="11"/>
        <v>13348.488856</v>
      </c>
      <c r="Q37" s="12">
        <f t="shared" si="12"/>
        <v>14</v>
      </c>
      <c r="R37" s="12">
        <f t="shared" si="13"/>
        <v>-304.690000000001</v>
      </c>
      <c r="S37" s="12">
        <f t="shared" si="14"/>
        <v>14</v>
      </c>
      <c r="T37" s="12">
        <f t="shared" si="15"/>
        <v>-304.690000000001</v>
      </c>
      <c r="U37" s="19">
        <f t="shared" si="16"/>
        <v>4.77815699658703</v>
      </c>
      <c r="V37" s="19">
        <f t="shared" si="17"/>
        <v>-2.23164146030433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293</v>
      </c>
      <c r="AH37" s="49">
        <v>13653.178856</v>
      </c>
      <c r="AI37" s="47">
        <v>305</v>
      </c>
      <c r="AJ37" s="47">
        <v>13328.638856</v>
      </c>
      <c r="AK37" s="47">
        <v>305</v>
      </c>
      <c r="AL37" s="47">
        <v>13328.638856</v>
      </c>
      <c r="AM37" s="41">
        <v>293</v>
      </c>
      <c r="AN37" s="41">
        <v>13653.178856</v>
      </c>
      <c r="AO37" s="41">
        <v>293</v>
      </c>
      <c r="AP37" s="49">
        <v>13653.178856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439</v>
      </c>
      <c r="D38" s="12">
        <v>19139.363485</v>
      </c>
      <c r="E38" s="12">
        <f t="shared" si="1"/>
        <v>0</v>
      </c>
      <c r="F38" s="12">
        <f t="shared" si="2"/>
        <v>-283.296000999999</v>
      </c>
      <c r="G38" s="12">
        <f t="shared" si="3"/>
        <v>-5</v>
      </c>
      <c r="H38" s="12">
        <f t="shared" si="4"/>
        <v>-589.361616999999</v>
      </c>
      <c r="I38" s="12">
        <f t="shared" si="5"/>
        <v>-5</v>
      </c>
      <c r="J38" s="12">
        <f t="shared" si="6"/>
        <v>-589.361616999999</v>
      </c>
      <c r="K38" s="12">
        <f t="shared" si="18"/>
        <v>-45</v>
      </c>
      <c r="L38" s="12">
        <f t="shared" si="7"/>
        <v>-1608.361617</v>
      </c>
      <c r="M38" s="19">
        <f t="shared" si="8"/>
        <v>-1.12612612612613</v>
      </c>
      <c r="N38" s="19">
        <f t="shared" si="9"/>
        <v>-2.98732743222344</v>
      </c>
      <c r="O38" s="12">
        <f t="shared" si="10"/>
        <v>439</v>
      </c>
      <c r="P38" s="12">
        <f t="shared" si="11"/>
        <v>19139.363485</v>
      </c>
      <c r="Q38" s="12">
        <f t="shared" si="12"/>
        <v>-5</v>
      </c>
      <c r="R38" s="12">
        <f t="shared" si="13"/>
        <v>-589.361616999999</v>
      </c>
      <c r="S38" s="12">
        <f t="shared" si="14"/>
        <v>-5</v>
      </c>
      <c r="T38" s="12">
        <f t="shared" si="15"/>
        <v>-589.361616999999</v>
      </c>
      <c r="U38" s="19">
        <f t="shared" si="16"/>
        <v>-1.12612612612613</v>
      </c>
      <c r="V38" s="19">
        <f t="shared" si="17"/>
        <v>-2.98732743222344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444</v>
      </c>
      <c r="AH38" s="49">
        <v>19728.725102</v>
      </c>
      <c r="AI38" s="47">
        <v>439</v>
      </c>
      <c r="AJ38" s="47">
        <v>19422.659486</v>
      </c>
      <c r="AK38" s="47">
        <v>439</v>
      </c>
      <c r="AL38" s="47">
        <v>19422.659486</v>
      </c>
      <c r="AM38" s="41">
        <v>444</v>
      </c>
      <c r="AN38" s="41">
        <v>19728.725102</v>
      </c>
      <c r="AO38" s="41">
        <v>444</v>
      </c>
      <c r="AP38" s="49">
        <v>19728.725102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421</v>
      </c>
      <c r="D39" s="12">
        <v>18567.495043</v>
      </c>
      <c r="E39" s="12">
        <f t="shared" si="1"/>
        <v>2</v>
      </c>
      <c r="F39" s="12">
        <f t="shared" si="2"/>
        <v>-3.1059239999995</v>
      </c>
      <c r="G39" s="12">
        <f t="shared" si="3"/>
        <v>17</v>
      </c>
      <c r="H39" s="12">
        <f t="shared" si="4"/>
        <v>1009.05656</v>
      </c>
      <c r="I39" s="12">
        <f t="shared" si="5"/>
        <v>17</v>
      </c>
      <c r="J39" s="12">
        <f t="shared" si="6"/>
        <v>1009.05656</v>
      </c>
      <c r="K39" s="12">
        <f t="shared" si="18"/>
        <v>-1</v>
      </c>
      <c r="L39" s="12">
        <f t="shared" si="7"/>
        <v>7.87655999999731</v>
      </c>
      <c r="M39" s="19">
        <f t="shared" si="8"/>
        <v>4.20792079207921</v>
      </c>
      <c r="N39" s="19">
        <f t="shared" si="9"/>
        <v>5.74684679948596</v>
      </c>
      <c r="O39" s="12">
        <f t="shared" si="10"/>
        <v>421</v>
      </c>
      <c r="P39" s="12">
        <f t="shared" si="11"/>
        <v>18567.495043</v>
      </c>
      <c r="Q39" s="12">
        <f t="shared" si="12"/>
        <v>17</v>
      </c>
      <c r="R39" s="12">
        <f t="shared" si="13"/>
        <v>1009.05656</v>
      </c>
      <c r="S39" s="12">
        <f t="shared" si="14"/>
        <v>17</v>
      </c>
      <c r="T39" s="12">
        <f t="shared" si="15"/>
        <v>1009.05656</v>
      </c>
      <c r="U39" s="19">
        <f t="shared" si="16"/>
        <v>4.20792079207921</v>
      </c>
      <c r="V39" s="19">
        <f t="shared" si="17"/>
        <v>5.74684679948596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404</v>
      </c>
      <c r="AH39" s="51">
        <v>17558.438483</v>
      </c>
      <c r="AI39" s="47">
        <v>419</v>
      </c>
      <c r="AJ39" s="47">
        <v>18570.600967</v>
      </c>
      <c r="AK39" s="47">
        <v>419</v>
      </c>
      <c r="AL39" s="47">
        <v>18570.600967</v>
      </c>
      <c r="AM39" s="41">
        <v>404</v>
      </c>
      <c r="AN39" s="41">
        <v>17558.438483</v>
      </c>
      <c r="AO39" s="41">
        <v>404</v>
      </c>
      <c r="AP39" s="49">
        <v>17558.438483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332</v>
      </c>
      <c r="D40" s="12">
        <v>429645.974804</v>
      </c>
      <c r="E40" s="12">
        <f t="shared" si="1"/>
        <v>1</v>
      </c>
      <c r="F40" s="12">
        <f t="shared" si="2"/>
        <v>1000</v>
      </c>
      <c r="G40" s="12">
        <f t="shared" si="3"/>
        <v>8</v>
      </c>
      <c r="H40" s="12">
        <f t="shared" si="4"/>
        <v>11015</v>
      </c>
      <c r="I40" s="12">
        <f t="shared" si="5"/>
        <v>8</v>
      </c>
      <c r="J40" s="12">
        <f t="shared" si="6"/>
        <v>11015</v>
      </c>
      <c r="K40" s="12">
        <f t="shared" si="18"/>
        <v>-3</v>
      </c>
      <c r="L40" s="12">
        <f t="shared" si="7"/>
        <v>1792.02999999997</v>
      </c>
      <c r="M40" s="19">
        <f t="shared" si="8"/>
        <v>2.46913580246914</v>
      </c>
      <c r="N40" s="19">
        <f t="shared" si="9"/>
        <v>2.63119565033551</v>
      </c>
      <c r="O40" s="12">
        <f t="shared" si="10"/>
        <v>331</v>
      </c>
      <c r="P40" s="12">
        <f t="shared" si="11"/>
        <v>429145.974804</v>
      </c>
      <c r="Q40" s="12">
        <f t="shared" si="12"/>
        <v>7</v>
      </c>
      <c r="R40" s="12">
        <f t="shared" si="13"/>
        <v>10515</v>
      </c>
      <c r="S40" s="12">
        <f t="shared" si="14"/>
        <v>7</v>
      </c>
      <c r="T40" s="12">
        <f t="shared" si="15"/>
        <v>10515</v>
      </c>
      <c r="U40" s="19">
        <f t="shared" si="16"/>
        <v>2.16049382716049</v>
      </c>
      <c r="V40" s="19">
        <f t="shared" si="17"/>
        <v>2.51175871659355</v>
      </c>
      <c r="W40" s="12">
        <v>-1</v>
      </c>
      <c r="X40" s="29">
        <v>-500</v>
      </c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324</v>
      </c>
      <c r="AH40" s="41">
        <v>418630.974804</v>
      </c>
      <c r="AI40" s="47">
        <v>331</v>
      </c>
      <c r="AJ40" s="47">
        <v>428645.974804</v>
      </c>
      <c r="AK40" s="47">
        <v>330</v>
      </c>
      <c r="AL40" s="47">
        <v>428145.974804</v>
      </c>
      <c r="AM40" s="41">
        <v>324</v>
      </c>
      <c r="AN40" s="41">
        <v>418630.974804</v>
      </c>
      <c r="AO40" s="41">
        <v>324</v>
      </c>
      <c r="AP40" s="49">
        <v>418630.974804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351</v>
      </c>
      <c r="D41" s="12">
        <v>17522.755926</v>
      </c>
      <c r="E41" s="12">
        <f t="shared" si="1"/>
        <v>0</v>
      </c>
      <c r="F41" s="12">
        <f t="shared" si="2"/>
        <v>-0.43999999999869</v>
      </c>
      <c r="G41" s="12">
        <f t="shared" si="3"/>
        <v>-1</v>
      </c>
      <c r="H41" s="12">
        <f t="shared" si="4"/>
        <v>-83.0701889999982</v>
      </c>
      <c r="I41" s="12">
        <f t="shared" si="5"/>
        <v>-1</v>
      </c>
      <c r="J41" s="12">
        <f t="shared" si="6"/>
        <v>-83.0701889999982</v>
      </c>
      <c r="K41" s="12">
        <f t="shared" si="18"/>
        <v>-35</v>
      </c>
      <c r="L41" s="12">
        <f t="shared" si="7"/>
        <v>-1003.830189</v>
      </c>
      <c r="M41" s="19">
        <f t="shared" si="8"/>
        <v>-0.284090909090909</v>
      </c>
      <c r="N41" s="19">
        <f t="shared" si="9"/>
        <v>-0.471833519525807</v>
      </c>
      <c r="O41" s="12">
        <f>C41+W41+AA41-AC41+Y41</f>
        <v>351</v>
      </c>
      <c r="P41" s="12">
        <f>D41+X41+AB41-AD41+Z41</f>
        <v>17522.755926</v>
      </c>
      <c r="Q41" s="12">
        <f t="shared" si="12"/>
        <v>-1</v>
      </c>
      <c r="R41" s="12">
        <f t="shared" si="13"/>
        <v>-83.0701889999982</v>
      </c>
      <c r="S41" s="12">
        <f t="shared" si="14"/>
        <v>-1</v>
      </c>
      <c r="T41" s="12">
        <f t="shared" si="15"/>
        <v>-83.0701889999982</v>
      </c>
      <c r="U41" s="19">
        <f t="shared" si="16"/>
        <v>-0.284090909090909</v>
      </c>
      <c r="V41" s="19">
        <f t="shared" si="17"/>
        <v>-0.471833519525807</v>
      </c>
      <c r="W41" s="12"/>
      <c r="X41" s="29"/>
      <c r="Y41" s="29"/>
      <c r="Z41" s="29"/>
      <c r="AA41" s="12"/>
      <c r="AB41" s="12"/>
      <c r="AC41" s="12"/>
      <c r="AD41" s="12"/>
      <c r="AE41" s="41">
        <v>352</v>
      </c>
      <c r="AF41" s="41">
        <v>17605.826115</v>
      </c>
      <c r="AG41" s="41">
        <v>352</v>
      </c>
      <c r="AH41" s="41">
        <v>17605.826115</v>
      </c>
      <c r="AI41" s="47">
        <v>351</v>
      </c>
      <c r="AJ41" s="47">
        <v>17523.195926</v>
      </c>
      <c r="AK41" s="47">
        <v>351</v>
      </c>
      <c r="AL41" s="47">
        <v>17523.195926</v>
      </c>
      <c r="AM41" s="41">
        <v>352</v>
      </c>
      <c r="AN41" s="41">
        <v>17605.826115</v>
      </c>
      <c r="AO41" s="41">
        <v>352</v>
      </c>
      <c r="AP41" s="49">
        <v>17605.826115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1743657</v>
      </c>
      <c r="E42" s="16"/>
      <c r="F42" s="12">
        <v>-12477</v>
      </c>
      <c r="G42" s="16"/>
      <c r="H42" s="12">
        <v>5715</v>
      </c>
      <c r="I42" s="16"/>
      <c r="J42" s="12">
        <v>5715</v>
      </c>
      <c r="K42" s="12"/>
      <c r="L42" s="12"/>
      <c r="M42" s="20"/>
      <c r="N42" s="19">
        <v>0.33</v>
      </c>
      <c r="O42" s="12" t="s">
        <v>65</v>
      </c>
      <c r="P42" s="12">
        <v>344245</v>
      </c>
      <c r="Q42" s="16"/>
      <c r="R42" s="12">
        <v>-255</v>
      </c>
      <c r="S42" s="16"/>
      <c r="T42" s="12">
        <v>-255</v>
      </c>
      <c r="U42" s="16"/>
      <c r="V42" s="19">
        <v>-0.07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2026-01-19T01:02:40Z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