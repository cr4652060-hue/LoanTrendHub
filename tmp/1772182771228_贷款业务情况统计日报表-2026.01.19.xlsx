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<sst xmlns="http://schemas.openxmlformats.org/spreadsheetml/2006/main" count="139" uniqueCount="66">
  <si>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</si>
  <si>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2026.01.19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</si>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</sst>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24898</v>
      </c>
      <c r="D6" s="12">
        <f>SUM(D7:D41)</f>
        <v>1403308.458842</v>
      </c>
      <c r="E6" s="12">
        <f>C6-AI6</f>
        <v>7</v>
      </c>
      <c r="F6" s="12">
        <f>D6-AJ6</f>
        <v>3349.22702099988</v>
      </c>
      <c r="G6" s="12">
        <f>C6-AM6</f>
        <v>307</v>
      </c>
      <c r="H6" s="12">
        <f>D6-AN6</f>
        <v>9866.912855</v>
      </c>
      <c r="I6" s="12">
        <f>C6-AE6</f>
        <v>307</v>
      </c>
      <c r="J6" s="12">
        <f>D6-AF6</f>
        <v>9866.912855</v>
      </c>
      <c r="K6" s="12">
        <f>I6-AS6</f>
        <v>-1225</v>
      </c>
      <c r="L6" s="12">
        <f>J6-AT6</f>
        <v>-33983.5771449998</v>
      </c>
      <c r="M6" s="19">
        <f>I6/AE6*100</f>
        <v>1.24842422024318</v>
      </c>
      <c r="N6" s="19">
        <f>J6/AF6*100</f>
        <v>0.70809664627956</v>
      </c>
      <c r="O6" s="12">
        <f>C6+Y6</f>
        <v>24898</v>
      </c>
      <c r="P6" s="12">
        <f>D6+Z6</f>
        <v>1403308.458842</v>
      </c>
      <c r="Q6" s="12">
        <f>O6-AO6</f>
        <v>307</v>
      </c>
      <c r="R6" s="12">
        <f>P6-AP6</f>
        <v>9866.912855</v>
      </c>
      <c r="S6" s="30">
        <f>O6-AG6</f>
        <v>307</v>
      </c>
      <c r="T6" s="12">
        <f>P6-AH6</f>
        <v>9866.912855</v>
      </c>
      <c r="U6" s="19">
        <f>S6/AG6*100</f>
        <v>1.24842422024318</v>
      </c>
      <c r="V6" s="19">
        <f>T6/AH6*100</f>
        <v>0.70809664627956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24891</v>
      </c>
      <c r="AJ6" s="47">
        <v>1399959.231821</v>
      </c>
      <c r="AK6" s="47">
        <v>24891</v>
      </c>
      <c r="AL6" s="48">
        <v>1399959.231821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1653</v>
      </c>
      <c r="D7" s="12">
        <v>81451.325251</v>
      </c>
      <c r="E7" s="12">
        <f>C7-AI7</f>
        <v>1</v>
      </c>
      <c r="F7" s="12">
        <f>D7-AJ7</f>
        <v>6.24005499990017</v>
      </c>
      <c r="G7" s="12">
        <f>C7-AM7</f>
        <v>-4</v>
      </c>
      <c r="H7" s="12">
        <f>D7-AN7</f>
        <v>-958.590645000004</v>
      </c>
      <c r="I7" s="12">
        <f>C7-AE7</f>
        <v>-4</v>
      </c>
      <c r="J7" s="12">
        <f>D7-AF7</f>
        <v>-958.590645000004</v>
      </c>
      <c r="K7" s="12">
        <f t="shared" ref="K6:K12" si="0">I7-AS7</f>
        <v>-35</v>
      </c>
      <c r="L7" s="12">
        <f>J7-AT7</f>
        <v>-2466.13064500001</v>
      </c>
      <c r="M7" s="19">
        <f>I7/AE7*100</f>
        <v>-0.24140012070006</v>
      </c>
      <c r="N7" s="19">
        <f>J7/AF7*100</f>
        <v>-1.16319818383231</v>
      </c>
      <c r="O7" s="12">
        <f>C7+W7+AA7-AC7</f>
        <v>1653</v>
      </c>
      <c r="P7" s="12">
        <f>D7+X7+AB7-AD7</f>
        <v>81451.325251</v>
      </c>
      <c r="Q7" s="12">
        <f>O7-AO7</f>
        <v>-4</v>
      </c>
      <c r="R7" s="12">
        <f>P7-AP7</f>
        <v>-958.590645000004</v>
      </c>
      <c r="S7" s="12">
        <f>O7-AG7</f>
        <v>-4</v>
      </c>
      <c r="T7" s="12">
        <f>P7-AH7</f>
        <v>-958.590645000004</v>
      </c>
      <c r="U7" s="19">
        <f>S7/AG7*100</f>
        <v>-0.24140012070006</v>
      </c>
      <c r="V7" s="19">
        <f>T7/AH7*100</f>
        <v>-1.16319818383231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1652</v>
      </c>
      <c r="AJ7" s="47">
        <v>81445.0851960001</v>
      </c>
      <c r="AK7" s="47">
        <v>1652</v>
      </c>
      <c r="AL7" s="47">
        <v>81445.0851960001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1900</v>
      </c>
      <c r="D8" s="12">
        <v>121691.36315</v>
      </c>
      <c r="E8" s="12">
        <f>C8-AI8</f>
        <v>-3</v>
      </c>
      <c r="F8" s="12">
        <f>D8-AJ8</f>
        <v>89.9327900000062</v>
      </c>
      <c r="G8" s="12">
        <f>C8-AM8</f>
        <v>-25</v>
      </c>
      <c r="H8" s="12">
        <f>D8-AN8</f>
        <v>-1537.006446</v>
      </c>
      <c r="I8" s="12">
        <f>C8-AE8</f>
        <v>-25</v>
      </c>
      <c r="J8" s="12">
        <f>D8-AF8</f>
        <v>-1537.006446</v>
      </c>
      <c r="K8" s="12">
        <f t="shared" si="0"/>
        <v>-25</v>
      </c>
      <c r="L8" s="12">
        <f>J8-AT8</f>
        <v>-423.15644599999</v>
      </c>
      <c r="M8" s="19">
        <f>I8/AE8*100</f>
        <v>-1.2987012987013</v>
      </c>
      <c r="N8" s="19">
        <f>J8/AF8*100</f>
        <v>-1.24728295200125</v>
      </c>
      <c r="O8" s="12">
        <f>C8+W8+AA8-AC8</f>
        <v>1900</v>
      </c>
      <c r="P8" s="12">
        <f>D8+X8+AB8-AD8</f>
        <v>121691.36315</v>
      </c>
      <c r="Q8" s="12">
        <f>O8-AO8</f>
        <v>-25</v>
      </c>
      <c r="R8" s="12">
        <f>P8-AP8</f>
        <v>-1537.006446</v>
      </c>
      <c r="S8" s="30">
        <f>O8-AG8</f>
        <v>-25</v>
      </c>
      <c r="T8" s="12">
        <f>P8-AH8</f>
        <v>-1537.006446</v>
      </c>
      <c r="U8" s="19">
        <f>S8/AG8*100</f>
        <v>-1.2987012987013</v>
      </c>
      <c r="V8" s="19">
        <f>T8/AH8*100</f>
        <v>-1.24728295200125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1903</v>
      </c>
      <c r="AJ8" s="47">
        <v>121601.43036</v>
      </c>
      <c r="AK8" s="47">
        <v>1903</v>
      </c>
      <c r="AL8" s="47">
        <v>121601.43036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770</v>
      </c>
      <c r="D9" s="12">
        <v>23391.742827</v>
      </c>
      <c r="E9" s="12">
        <f t="shared" ref="E9:E41" si="1">C9-AI9</f>
        <v>1</v>
      </c>
      <c r="F9" s="12">
        <f t="shared" ref="F9:F41" si="2">D9-AJ9</f>
        <v>144.343096999997</v>
      </c>
      <c r="G9" s="12">
        <f t="shared" ref="G9:G41" si="3">C9-AM9</f>
        <v>57</v>
      </c>
      <c r="H9" s="12">
        <f t="shared" ref="H9:H41" si="4">D9-AN9</f>
        <v>273.447590999996</v>
      </c>
      <c r="I9" s="12">
        <f t="shared" ref="I9:I41" si="5">C9-AE9</f>
        <v>57</v>
      </c>
      <c r="J9" s="12">
        <f t="shared" ref="J9:J41" si="6">D9-AF9</f>
        <v>273.447590999996</v>
      </c>
      <c r="K9" s="12">
        <f t="shared" si="0"/>
        <v>-44</v>
      </c>
      <c r="L9" s="12">
        <f t="shared" ref="L9:L41" si="7">J9-AT9</f>
        <v>-979.632409000003</v>
      </c>
      <c r="M9" s="19">
        <f t="shared" ref="M9:M41" si="8">I9/AE9*100</f>
        <v>7.99438990182328</v>
      </c>
      <c r="N9" s="19">
        <f t="shared" ref="N9:N41" si="9">J9/AF9*100</f>
        <v>1.18281901069497</v>
      </c>
      <c r="O9" s="12">
        <f t="shared" ref="O9:O40" si="10">C9+W9+AA9-AC9</f>
        <v>770</v>
      </c>
      <c r="P9" s="12">
        <f t="shared" ref="P9:P40" si="11">D9+X9+AB9-AD9</f>
        <v>23391.742827</v>
      </c>
      <c r="Q9" s="12">
        <f t="shared" ref="Q9:Q41" si="12">O9-AO9</f>
        <v>57</v>
      </c>
      <c r="R9" s="12">
        <f t="shared" ref="R9:R41" si="13">P9-AP9</f>
        <v>273.447590999996</v>
      </c>
      <c r="S9" s="12">
        <f t="shared" ref="S9:S41" si="14">O9-AG9</f>
        <v>57</v>
      </c>
      <c r="T9" s="12">
        <f t="shared" ref="T9:T41" si="15">P9-AH9</f>
        <v>273.447590999996</v>
      </c>
      <c r="U9" s="19">
        <f t="shared" ref="U9:U41" si="16">S9/AG9*100</f>
        <v>7.99438990182328</v>
      </c>
      <c r="V9" s="19">
        <f t="shared" ref="V9:V41" si="17">T9/AH9*100</f>
        <v>1.18281901069497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769</v>
      </c>
      <c r="AJ9" s="47">
        <v>23247.39973</v>
      </c>
      <c r="AK9" s="47">
        <v>769</v>
      </c>
      <c r="AL9" s="47">
        <v>23247.39973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930</v>
      </c>
      <c r="D10" s="12">
        <v>27660.320593</v>
      </c>
      <c r="E10" s="12">
        <f t="shared" si="1"/>
        <v>0</v>
      </c>
      <c r="F10" s="12">
        <f t="shared" si="2"/>
        <v>-5.17884399999821</v>
      </c>
      <c r="G10" s="12">
        <f t="shared" si="3"/>
        <v>39</v>
      </c>
      <c r="H10" s="12">
        <f t="shared" si="4"/>
        <v>-215.380482</v>
      </c>
      <c r="I10" s="12">
        <f t="shared" si="5"/>
        <v>39</v>
      </c>
      <c r="J10" s="12">
        <f t="shared" si="6"/>
        <v>-215.380482</v>
      </c>
      <c r="K10" s="12">
        <f t="shared" si="0"/>
        <v>21</v>
      </c>
      <c r="L10" s="12">
        <f t="shared" si="7"/>
        <v>-1926.150482</v>
      </c>
      <c r="M10" s="19">
        <f t="shared" si="8"/>
        <v>4.37710437710438</v>
      </c>
      <c r="N10" s="19">
        <f t="shared" si="9"/>
        <v>-0.772645973712073</v>
      </c>
      <c r="O10" s="12">
        <f t="shared" si="10"/>
        <v>930</v>
      </c>
      <c r="P10" s="12">
        <f t="shared" si="11"/>
        <v>27660.320593</v>
      </c>
      <c r="Q10" s="12">
        <f t="shared" si="12"/>
        <v>39</v>
      </c>
      <c r="R10" s="12">
        <f t="shared" si="13"/>
        <v>-215.380482</v>
      </c>
      <c r="S10" s="12">
        <f t="shared" si="14"/>
        <v>39</v>
      </c>
      <c r="T10" s="12">
        <f t="shared" si="15"/>
        <v>-215.380482</v>
      </c>
      <c r="U10" s="19">
        <f t="shared" si="16"/>
        <v>4.37710437710438</v>
      </c>
      <c r="V10" s="19">
        <f t="shared" si="17"/>
        <v>-0.772645973712073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930</v>
      </c>
      <c r="AJ10" s="47">
        <v>27665.499437</v>
      </c>
      <c r="AK10" s="47">
        <v>930</v>
      </c>
      <c r="AL10" s="47">
        <v>27665.499437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514</v>
      </c>
      <c r="D11" s="12">
        <v>12614.40172</v>
      </c>
      <c r="E11" s="12">
        <f t="shared" si="1"/>
        <v>-1</v>
      </c>
      <c r="F11" s="12">
        <f t="shared" si="2"/>
        <v>-22.5</v>
      </c>
      <c r="G11" s="12">
        <f t="shared" si="3"/>
        <v>23</v>
      </c>
      <c r="H11" s="12">
        <f t="shared" si="4"/>
        <v>472.929905999999</v>
      </c>
      <c r="I11" s="12">
        <f t="shared" si="5"/>
        <v>23</v>
      </c>
      <c r="J11" s="12">
        <f t="shared" si="6"/>
        <v>472.929905999999</v>
      </c>
      <c r="K11" s="12">
        <f t="shared" si="0"/>
        <v>-16</v>
      </c>
      <c r="L11" s="12">
        <f t="shared" si="7"/>
        <v>-463.730094000001</v>
      </c>
      <c r="M11" s="19">
        <f t="shared" si="8"/>
        <v>4.68431771894094</v>
      </c>
      <c r="N11" s="19">
        <f t="shared" si="9"/>
        <v>3.89516125594161</v>
      </c>
      <c r="O11" s="12">
        <f t="shared" si="10"/>
        <v>514</v>
      </c>
      <c r="P11" s="12">
        <f t="shared" si="11"/>
        <v>12614.40172</v>
      </c>
      <c r="Q11" s="12">
        <f t="shared" si="12"/>
        <v>23</v>
      </c>
      <c r="R11" s="12">
        <f t="shared" si="13"/>
        <v>472.929905999999</v>
      </c>
      <c r="S11" s="12">
        <f t="shared" si="14"/>
        <v>23</v>
      </c>
      <c r="T11" s="12">
        <f t="shared" si="15"/>
        <v>472.929905999999</v>
      </c>
      <c r="U11" s="19">
        <f t="shared" si="16"/>
        <v>4.68431771894094</v>
      </c>
      <c r="V11" s="19">
        <f t="shared" si="17"/>
        <v>3.89516125594161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515</v>
      </c>
      <c r="AJ11" s="47">
        <v>12636.90172</v>
      </c>
      <c r="AK11" s="47">
        <v>515</v>
      </c>
      <c r="AL11" s="47">
        <v>12636.90172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395</v>
      </c>
      <c r="D12" s="12">
        <v>14372.419165</v>
      </c>
      <c r="E12" s="12">
        <f t="shared" si="1"/>
        <v>0</v>
      </c>
      <c r="F12" s="12">
        <f t="shared" si="2"/>
        <v>39.5</v>
      </c>
      <c r="G12" s="12">
        <f t="shared" si="3"/>
        <v>37</v>
      </c>
      <c r="H12" s="12">
        <f t="shared" si="4"/>
        <v>997.172827999999</v>
      </c>
      <c r="I12" s="12">
        <f t="shared" si="5"/>
        <v>37</v>
      </c>
      <c r="J12" s="12">
        <f t="shared" si="6"/>
        <v>997.172827999999</v>
      </c>
      <c r="K12" s="12">
        <f t="shared" si="0"/>
        <v>-36</v>
      </c>
      <c r="L12" s="12">
        <f t="shared" si="7"/>
        <v>-496.827172000001</v>
      </c>
      <c r="M12" s="19">
        <f t="shared" si="8"/>
        <v>10.3351955307263</v>
      </c>
      <c r="N12" s="19">
        <f t="shared" si="9"/>
        <v>7.45536046870042</v>
      </c>
      <c r="O12" s="12">
        <f t="shared" si="10"/>
        <v>395</v>
      </c>
      <c r="P12" s="12">
        <f t="shared" si="11"/>
        <v>14372.419165</v>
      </c>
      <c r="Q12" s="12">
        <f t="shared" si="12"/>
        <v>37</v>
      </c>
      <c r="R12" s="12">
        <f t="shared" si="13"/>
        <v>997.172827999999</v>
      </c>
      <c r="S12" s="30">
        <f t="shared" si="14"/>
        <v>37</v>
      </c>
      <c r="T12" s="12">
        <f t="shared" si="15"/>
        <v>997.172827999999</v>
      </c>
      <c r="U12" s="19">
        <f t="shared" si="16"/>
        <v>10.3351955307263</v>
      </c>
      <c r="V12" s="19">
        <f t="shared" si="17"/>
        <v>7.45536046870042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395</v>
      </c>
      <c r="AJ12" s="47">
        <v>14332.919165</v>
      </c>
      <c r="AK12" s="47">
        <v>395</v>
      </c>
      <c r="AL12" s="47">
        <v>14332.919165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468</v>
      </c>
      <c r="D13" s="12">
        <v>11790.82839</v>
      </c>
      <c r="E13" s="12">
        <f t="shared" si="1"/>
        <v>4</v>
      </c>
      <c r="F13" s="12">
        <f t="shared" si="2"/>
        <v>3.30000000000109</v>
      </c>
      <c r="G13" s="12">
        <f t="shared" si="3"/>
        <v>-1</v>
      </c>
      <c r="H13" s="12">
        <f t="shared" si="4"/>
        <v>-246.461225999999</v>
      </c>
      <c r="I13" s="12">
        <f t="shared" si="5"/>
        <v>-1</v>
      </c>
      <c r="J13" s="12">
        <f t="shared" si="6"/>
        <v>-246.461225999999</v>
      </c>
      <c r="K13" s="12">
        <f t="shared" ref="K9:K41" si="18">I13-AS13</f>
        <v>-4</v>
      </c>
      <c r="L13" s="12">
        <f t="shared" si="7"/>
        <v>-812.931226</v>
      </c>
      <c r="M13" s="19">
        <f t="shared" si="8"/>
        <v>-0.213219616204691</v>
      </c>
      <c r="N13" s="19">
        <f t="shared" si="9"/>
        <v>-2.04748106810027</v>
      </c>
      <c r="O13" s="12">
        <f t="shared" si="10"/>
        <v>468</v>
      </c>
      <c r="P13" s="12">
        <f t="shared" si="11"/>
        <v>11790.82839</v>
      </c>
      <c r="Q13" s="12">
        <f t="shared" si="12"/>
        <v>-1</v>
      </c>
      <c r="R13" s="12">
        <f t="shared" si="13"/>
        <v>-246.461225999999</v>
      </c>
      <c r="S13" s="12">
        <f t="shared" si="14"/>
        <v>-1</v>
      </c>
      <c r="T13" s="12">
        <f t="shared" si="15"/>
        <v>-246.461225999999</v>
      </c>
      <c r="U13" s="19">
        <f t="shared" si="16"/>
        <v>-0.213219616204691</v>
      </c>
      <c r="V13" s="19">
        <f t="shared" si="17"/>
        <v>-2.04748106810027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464</v>
      </c>
      <c r="AJ13" s="47">
        <v>11787.52839</v>
      </c>
      <c r="AK13" s="47">
        <v>464</v>
      </c>
      <c r="AL13" s="47">
        <v>11787.52839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360</v>
      </c>
      <c r="D14" s="12">
        <v>11326.821276</v>
      </c>
      <c r="E14" s="12">
        <f t="shared" si="1"/>
        <v>2</v>
      </c>
      <c r="F14" s="12">
        <f t="shared" si="2"/>
        <v>-26.5153759999994</v>
      </c>
      <c r="G14" s="12">
        <f t="shared" si="3"/>
        <v>12</v>
      </c>
      <c r="H14" s="12">
        <f t="shared" si="4"/>
        <v>747.130228</v>
      </c>
      <c r="I14" s="12">
        <f t="shared" si="5"/>
        <v>12</v>
      </c>
      <c r="J14" s="12">
        <f t="shared" si="6"/>
        <v>747.130228</v>
      </c>
      <c r="K14" s="12">
        <f t="shared" si="18"/>
        <v>-64</v>
      </c>
      <c r="L14" s="12">
        <f t="shared" si="7"/>
        <v>-170.169771999999</v>
      </c>
      <c r="M14" s="19">
        <f t="shared" si="8"/>
        <v>3.44827586206897</v>
      </c>
      <c r="N14" s="19">
        <f t="shared" si="9"/>
        <v>7.06192860084736</v>
      </c>
      <c r="O14" s="12">
        <f t="shared" si="10"/>
        <v>360</v>
      </c>
      <c r="P14" s="12">
        <f t="shared" si="11"/>
        <v>11326.821276</v>
      </c>
      <c r="Q14" s="12">
        <f t="shared" si="12"/>
        <v>12</v>
      </c>
      <c r="R14" s="12">
        <f t="shared" si="13"/>
        <v>747.130228</v>
      </c>
      <c r="S14" s="12">
        <f t="shared" si="14"/>
        <v>12</v>
      </c>
      <c r="T14" s="12">
        <f t="shared" si="15"/>
        <v>747.130228</v>
      </c>
      <c r="U14" s="19">
        <f t="shared" si="16"/>
        <v>3.44827586206897</v>
      </c>
      <c r="V14" s="19">
        <f t="shared" si="17"/>
        <v>7.06192860084736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358</v>
      </c>
      <c r="AJ14" s="47">
        <v>11353.336652</v>
      </c>
      <c r="AK14" s="47">
        <v>358</v>
      </c>
      <c r="AL14" s="47">
        <v>11353.336652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708</v>
      </c>
      <c r="D15" s="12">
        <v>18257.924755</v>
      </c>
      <c r="E15" s="12">
        <f t="shared" si="1"/>
        <v>2</v>
      </c>
      <c r="F15" s="12">
        <f t="shared" si="2"/>
        <v>29.8488980000002</v>
      </c>
      <c r="G15" s="12">
        <f t="shared" si="3"/>
        <v>54</v>
      </c>
      <c r="H15" s="12">
        <f t="shared" si="4"/>
        <v>716.588008999999</v>
      </c>
      <c r="I15" s="12">
        <f t="shared" si="5"/>
        <v>54</v>
      </c>
      <c r="J15" s="12">
        <f t="shared" si="6"/>
        <v>716.588008999999</v>
      </c>
      <c r="K15" s="12">
        <f t="shared" si="18"/>
        <v>-56</v>
      </c>
      <c r="L15" s="12">
        <f t="shared" si="7"/>
        <v>-743.261991000001</v>
      </c>
      <c r="M15" s="19">
        <f t="shared" si="8"/>
        <v>8.25688073394496</v>
      </c>
      <c r="N15" s="19">
        <f t="shared" si="9"/>
        <v>4.08513911668337</v>
      </c>
      <c r="O15" s="12">
        <f t="shared" si="10"/>
        <v>708</v>
      </c>
      <c r="P15" s="12">
        <f t="shared" si="11"/>
        <v>18257.924755</v>
      </c>
      <c r="Q15" s="12">
        <f t="shared" si="12"/>
        <v>54</v>
      </c>
      <c r="R15" s="12">
        <f t="shared" si="13"/>
        <v>716.588008999999</v>
      </c>
      <c r="S15" s="12">
        <f t="shared" si="14"/>
        <v>54</v>
      </c>
      <c r="T15" s="12">
        <f t="shared" si="15"/>
        <v>716.588008999999</v>
      </c>
      <c r="U15" s="19">
        <f t="shared" si="16"/>
        <v>8.25688073394496</v>
      </c>
      <c r="V15" s="19">
        <f t="shared" si="17"/>
        <v>4.08513911668337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706</v>
      </c>
      <c r="AJ15" s="47">
        <v>18228.075857</v>
      </c>
      <c r="AK15" s="47">
        <v>706</v>
      </c>
      <c r="AL15" s="47">
        <v>18228.075857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694</v>
      </c>
      <c r="D16" s="12">
        <v>23642.268595</v>
      </c>
      <c r="E16" s="12">
        <f t="shared" si="1"/>
        <v>0</v>
      </c>
      <c r="F16" s="12">
        <f t="shared" si="2"/>
        <v>-343.052784</v>
      </c>
      <c r="G16" s="12">
        <f t="shared" si="3"/>
        <v>-9</v>
      </c>
      <c r="H16" s="12">
        <f t="shared" si="4"/>
        <v>741.541632</v>
      </c>
      <c r="I16" s="12">
        <f t="shared" si="5"/>
        <v>-9</v>
      </c>
      <c r="J16" s="12">
        <f t="shared" si="6"/>
        <v>741.541632</v>
      </c>
      <c r="K16" s="12">
        <f t="shared" si="18"/>
        <v>-72</v>
      </c>
      <c r="L16" s="12">
        <f t="shared" si="7"/>
        <v>-46.4183679999986</v>
      </c>
      <c r="M16" s="19">
        <f t="shared" si="8"/>
        <v>-1.28022759601707</v>
      </c>
      <c r="N16" s="19">
        <f t="shared" si="9"/>
        <v>3.23807027260788</v>
      </c>
      <c r="O16" s="12">
        <f t="shared" si="10"/>
        <v>694</v>
      </c>
      <c r="P16" s="12">
        <f t="shared" si="11"/>
        <v>23642.268595</v>
      </c>
      <c r="Q16" s="12">
        <f t="shared" si="12"/>
        <v>-9</v>
      </c>
      <c r="R16" s="12">
        <f t="shared" si="13"/>
        <v>741.541632</v>
      </c>
      <c r="S16" s="12">
        <f t="shared" si="14"/>
        <v>-9</v>
      </c>
      <c r="T16" s="12">
        <f t="shared" si="15"/>
        <v>741.541632</v>
      </c>
      <c r="U16" s="19">
        <f t="shared" si="16"/>
        <v>-1.28022759601707</v>
      </c>
      <c r="V16" s="19">
        <f t="shared" si="17"/>
        <v>3.23807027260788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694</v>
      </c>
      <c r="AJ16" s="47">
        <v>23985.321379</v>
      </c>
      <c r="AK16" s="47">
        <v>694</v>
      </c>
      <c r="AL16" s="47">
        <v>23985.321379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583</v>
      </c>
      <c r="D17" s="12">
        <v>18064.452328</v>
      </c>
      <c r="E17" s="12">
        <f t="shared" si="1"/>
        <v>-4</v>
      </c>
      <c r="F17" s="12">
        <f t="shared" si="2"/>
        <v>-33.7999999999993</v>
      </c>
      <c r="G17" s="12">
        <f t="shared" si="3"/>
        <v>-16</v>
      </c>
      <c r="H17" s="12">
        <f t="shared" si="4"/>
        <v>-365.568549</v>
      </c>
      <c r="I17" s="12">
        <f t="shared" si="5"/>
        <v>-16</v>
      </c>
      <c r="J17" s="12">
        <f t="shared" si="6"/>
        <v>-365.568549</v>
      </c>
      <c r="K17" s="12">
        <f t="shared" si="18"/>
        <v>-24</v>
      </c>
      <c r="L17" s="12">
        <f t="shared" si="7"/>
        <v>-1095.278549</v>
      </c>
      <c r="M17" s="19">
        <f t="shared" si="8"/>
        <v>-2.67111853088481</v>
      </c>
      <c r="N17" s="19">
        <f t="shared" si="9"/>
        <v>-1.98354929405542</v>
      </c>
      <c r="O17" s="12">
        <f t="shared" si="10"/>
        <v>583</v>
      </c>
      <c r="P17" s="12">
        <f t="shared" si="11"/>
        <v>18064.452328</v>
      </c>
      <c r="Q17" s="12">
        <f t="shared" si="12"/>
        <v>-16</v>
      </c>
      <c r="R17" s="12">
        <f t="shared" si="13"/>
        <v>-365.568549</v>
      </c>
      <c r="S17" s="30">
        <f t="shared" si="14"/>
        <v>-16</v>
      </c>
      <c r="T17" s="12">
        <f t="shared" si="15"/>
        <v>-365.568549</v>
      </c>
      <c r="U17" s="19">
        <f t="shared" si="16"/>
        <v>-2.67111853088481</v>
      </c>
      <c r="V17" s="19">
        <f t="shared" si="17"/>
        <v>-1.98354929405542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587</v>
      </c>
      <c r="AJ17" s="47">
        <v>18098.252328</v>
      </c>
      <c r="AK17" s="47">
        <v>587</v>
      </c>
      <c r="AL17" s="47">
        <v>18098.252328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482</v>
      </c>
      <c r="D18" s="12">
        <v>19790.688215</v>
      </c>
      <c r="E18" s="12">
        <f t="shared" si="1"/>
        <v>-1</v>
      </c>
      <c r="F18" s="12">
        <f t="shared" si="2"/>
        <v>42.084007999998</v>
      </c>
      <c r="G18" s="12">
        <f t="shared" si="3"/>
        <v>0</v>
      </c>
      <c r="H18" s="12">
        <f t="shared" si="4"/>
        <v>233.224814999998</v>
      </c>
      <c r="I18" s="12">
        <f t="shared" si="5"/>
        <v>0</v>
      </c>
      <c r="J18" s="12">
        <f t="shared" si="6"/>
        <v>233.224814999998</v>
      </c>
      <c r="K18" s="12">
        <f t="shared" si="18"/>
        <v>-11</v>
      </c>
      <c r="L18" s="12">
        <f t="shared" si="7"/>
        <v>-1078.245185</v>
      </c>
      <c r="M18" s="19">
        <f t="shared" si="8"/>
        <v>0</v>
      </c>
      <c r="N18" s="19">
        <f t="shared" si="9"/>
        <v>1.19251055328575</v>
      </c>
      <c r="O18" s="12">
        <f t="shared" si="10"/>
        <v>482</v>
      </c>
      <c r="P18" s="12">
        <f t="shared" si="11"/>
        <v>19790.688215</v>
      </c>
      <c r="Q18" s="12">
        <f t="shared" si="12"/>
        <v>0</v>
      </c>
      <c r="R18" s="12">
        <f t="shared" si="13"/>
        <v>233.224814999998</v>
      </c>
      <c r="S18" s="12">
        <f t="shared" si="14"/>
        <v>0</v>
      </c>
      <c r="T18" s="12">
        <f t="shared" si="15"/>
        <v>233.224814999998</v>
      </c>
      <c r="U18" s="19">
        <f t="shared" si="16"/>
        <v>0</v>
      </c>
      <c r="V18" s="19">
        <f t="shared" si="17"/>
        <v>1.19251055328575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483</v>
      </c>
      <c r="AJ18" s="47">
        <v>19748.604207</v>
      </c>
      <c r="AK18" s="47">
        <v>483</v>
      </c>
      <c r="AL18" s="47">
        <v>19748.604207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423</v>
      </c>
      <c r="D19" s="12">
        <v>15021.005472</v>
      </c>
      <c r="E19" s="12">
        <f t="shared" si="1"/>
        <v>0</v>
      </c>
      <c r="F19" s="12">
        <f t="shared" si="2"/>
        <v>174.1</v>
      </c>
      <c r="G19" s="12">
        <f t="shared" si="3"/>
        <v>-9</v>
      </c>
      <c r="H19" s="12">
        <f t="shared" si="4"/>
        <v>390.659100000001</v>
      </c>
      <c r="I19" s="12">
        <f t="shared" si="5"/>
        <v>-9</v>
      </c>
      <c r="J19" s="12">
        <f t="shared" si="6"/>
        <v>390.659100000001</v>
      </c>
      <c r="K19" s="12">
        <f t="shared" si="18"/>
        <v>-41</v>
      </c>
      <c r="L19" s="12">
        <f t="shared" si="7"/>
        <v>-412.320899999999</v>
      </c>
      <c r="M19" s="19">
        <f t="shared" si="8"/>
        <v>-2.08333333333333</v>
      </c>
      <c r="N19" s="19">
        <f t="shared" si="9"/>
        <v>2.67019720563592</v>
      </c>
      <c r="O19" s="12">
        <f t="shared" si="10"/>
        <v>423</v>
      </c>
      <c r="P19" s="12">
        <f t="shared" si="11"/>
        <v>15021.005472</v>
      </c>
      <c r="Q19" s="12">
        <f t="shared" si="12"/>
        <v>-9</v>
      </c>
      <c r="R19" s="12">
        <f t="shared" si="13"/>
        <v>390.659100000001</v>
      </c>
      <c r="S19" s="12">
        <f t="shared" si="14"/>
        <v>-9</v>
      </c>
      <c r="T19" s="12">
        <f t="shared" si="15"/>
        <v>390.659100000001</v>
      </c>
      <c r="U19" s="19">
        <f t="shared" si="16"/>
        <v>-2.08333333333333</v>
      </c>
      <c r="V19" s="19">
        <f t="shared" si="17"/>
        <v>2.67019720563592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423</v>
      </c>
      <c r="AJ19" s="47">
        <v>14846.905472</v>
      </c>
      <c r="AK19" s="47">
        <v>423</v>
      </c>
      <c r="AL19" s="47">
        <v>14846.905472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648</v>
      </c>
      <c r="D20" s="12">
        <v>19478.373997</v>
      </c>
      <c r="E20" s="12">
        <f t="shared" si="1"/>
        <v>0</v>
      </c>
      <c r="F20" s="12">
        <f t="shared" si="2"/>
        <v>79.2488569999987</v>
      </c>
      <c r="G20" s="12">
        <f t="shared" si="3"/>
        <v>37</v>
      </c>
      <c r="H20" s="12">
        <f t="shared" si="4"/>
        <v>1459.656393</v>
      </c>
      <c r="I20" s="12">
        <f t="shared" si="5"/>
        <v>37</v>
      </c>
      <c r="J20" s="12">
        <f t="shared" si="6"/>
        <v>1459.656393</v>
      </c>
      <c r="K20" s="12">
        <f t="shared" si="18"/>
        <v>-44</v>
      </c>
      <c r="L20" s="12">
        <f t="shared" si="7"/>
        <v>-756.993607000003</v>
      </c>
      <c r="M20" s="19">
        <f t="shared" si="8"/>
        <v>6.0556464811784</v>
      </c>
      <c r="N20" s="19">
        <f t="shared" si="9"/>
        <v>8.10077845204681</v>
      </c>
      <c r="O20" s="12">
        <f t="shared" si="10"/>
        <v>648</v>
      </c>
      <c r="P20" s="12">
        <f t="shared" si="11"/>
        <v>19478.373997</v>
      </c>
      <c r="Q20" s="12">
        <f t="shared" si="12"/>
        <v>37</v>
      </c>
      <c r="R20" s="12">
        <f t="shared" si="13"/>
        <v>1459.656393</v>
      </c>
      <c r="S20" s="12">
        <f t="shared" si="14"/>
        <v>37</v>
      </c>
      <c r="T20" s="12">
        <f t="shared" si="15"/>
        <v>1459.656393</v>
      </c>
      <c r="U20" s="19">
        <f t="shared" si="16"/>
        <v>6.0556464811784</v>
      </c>
      <c r="V20" s="19">
        <f t="shared" si="17"/>
        <v>8.10077845204681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648</v>
      </c>
      <c r="AJ20" s="47">
        <v>19399.12514</v>
      </c>
      <c r="AK20" s="47">
        <v>648</v>
      </c>
      <c r="AL20" s="47">
        <v>19399.12514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432</v>
      </c>
      <c r="D21" s="12">
        <v>15141.36911</v>
      </c>
      <c r="E21" s="12">
        <f t="shared" si="1"/>
        <v>-2</v>
      </c>
      <c r="F21" s="12">
        <f t="shared" si="2"/>
        <v>-31.4500000000007</v>
      </c>
      <c r="G21" s="12">
        <f t="shared" si="3"/>
        <v>-6</v>
      </c>
      <c r="H21" s="12">
        <f t="shared" si="4"/>
        <v>-283.095163</v>
      </c>
      <c r="I21" s="12">
        <f t="shared" si="5"/>
        <v>-6</v>
      </c>
      <c r="J21" s="12">
        <f t="shared" si="6"/>
        <v>-283.095163</v>
      </c>
      <c r="K21" s="12">
        <f t="shared" si="18"/>
        <v>-63</v>
      </c>
      <c r="L21" s="12">
        <f t="shared" si="7"/>
        <v>-1292.995163</v>
      </c>
      <c r="M21" s="19">
        <f t="shared" si="8"/>
        <v>-1.36986301369863</v>
      </c>
      <c r="N21" s="19">
        <f t="shared" si="9"/>
        <v>-1.83536463885847</v>
      </c>
      <c r="O21" s="12">
        <f t="shared" si="10"/>
        <v>432</v>
      </c>
      <c r="P21" s="12">
        <f t="shared" si="11"/>
        <v>15141.36911</v>
      </c>
      <c r="Q21" s="12">
        <f t="shared" si="12"/>
        <v>-6</v>
      </c>
      <c r="R21" s="12">
        <f t="shared" si="13"/>
        <v>-283.095163</v>
      </c>
      <c r="S21" s="30">
        <f t="shared" si="14"/>
        <v>-6</v>
      </c>
      <c r="T21" s="12">
        <f t="shared" si="15"/>
        <v>-283.095163</v>
      </c>
      <c r="U21" s="19">
        <f t="shared" si="16"/>
        <v>-1.36986301369863</v>
      </c>
      <c r="V21" s="19">
        <f t="shared" si="17"/>
        <v>-1.83536463885847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434</v>
      </c>
      <c r="AJ21" s="47">
        <v>15172.81911</v>
      </c>
      <c r="AK21" s="47">
        <v>434</v>
      </c>
      <c r="AL21" s="47">
        <v>15172.81911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728</v>
      </c>
      <c r="D22" s="12">
        <v>25524.004682</v>
      </c>
      <c r="E22" s="12">
        <f t="shared" si="1"/>
        <v>1</v>
      </c>
      <c r="F22" s="12">
        <f t="shared" si="2"/>
        <v>-16.6380000000026</v>
      </c>
      <c r="G22" s="12">
        <f t="shared" si="3"/>
        <v>54</v>
      </c>
      <c r="H22" s="12">
        <f t="shared" si="4"/>
        <v>2179.435714</v>
      </c>
      <c r="I22" s="12">
        <f t="shared" si="5"/>
        <v>54</v>
      </c>
      <c r="J22" s="12">
        <f t="shared" si="6"/>
        <v>2179.435714</v>
      </c>
      <c r="K22" s="12">
        <f t="shared" si="18"/>
        <v>-8</v>
      </c>
      <c r="L22" s="12">
        <f t="shared" si="7"/>
        <v>900.515713999999</v>
      </c>
      <c r="M22" s="19">
        <f t="shared" si="8"/>
        <v>8.01186943620178</v>
      </c>
      <c r="N22" s="19">
        <f t="shared" si="9"/>
        <v>9.3359432636666</v>
      </c>
      <c r="O22" s="12">
        <f t="shared" si="10"/>
        <v>728</v>
      </c>
      <c r="P22" s="12">
        <f t="shared" si="11"/>
        <v>25524.004682</v>
      </c>
      <c r="Q22" s="12">
        <f t="shared" si="12"/>
        <v>54</v>
      </c>
      <c r="R22" s="12">
        <f t="shared" si="13"/>
        <v>2179.435714</v>
      </c>
      <c r="S22" s="12">
        <f t="shared" si="14"/>
        <v>54</v>
      </c>
      <c r="T22" s="12">
        <f t="shared" si="15"/>
        <v>2179.435714</v>
      </c>
      <c r="U22" s="19">
        <f t="shared" si="16"/>
        <v>8.01186943620178</v>
      </c>
      <c r="V22" s="19">
        <f t="shared" si="17"/>
        <v>9.3359432636666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727</v>
      </c>
      <c r="AJ22" s="47">
        <v>25540.642682</v>
      </c>
      <c r="AK22" s="47">
        <v>727</v>
      </c>
      <c r="AL22" s="47">
        <v>25540.642682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686</v>
      </c>
      <c r="D23" s="12">
        <v>25285.507315</v>
      </c>
      <c r="E23" s="12">
        <f t="shared" si="1"/>
        <v>-2</v>
      </c>
      <c r="F23" s="12">
        <f t="shared" si="2"/>
        <v>-124.799999999999</v>
      </c>
      <c r="G23" s="12">
        <f t="shared" si="3"/>
        <v>-14</v>
      </c>
      <c r="H23" s="12">
        <f t="shared" si="4"/>
        <v>-734.681271000001</v>
      </c>
      <c r="I23" s="12">
        <f t="shared" si="5"/>
        <v>-14</v>
      </c>
      <c r="J23" s="12">
        <f t="shared" si="6"/>
        <v>-734.681271000001</v>
      </c>
      <c r="K23" s="12">
        <f t="shared" si="18"/>
        <v>-56</v>
      </c>
      <c r="L23" s="12">
        <f t="shared" si="7"/>
        <v>-1263.091271</v>
      </c>
      <c r="M23" s="19">
        <f t="shared" si="8"/>
        <v>-2</v>
      </c>
      <c r="N23" s="19">
        <f t="shared" si="9"/>
        <v>-2.82350478964358</v>
      </c>
      <c r="O23" s="12">
        <f t="shared" si="10"/>
        <v>686</v>
      </c>
      <c r="P23" s="12">
        <f t="shared" si="11"/>
        <v>25285.507315</v>
      </c>
      <c r="Q23" s="12">
        <f t="shared" si="12"/>
        <v>-14</v>
      </c>
      <c r="R23" s="12">
        <f t="shared" si="13"/>
        <v>-734.681271000001</v>
      </c>
      <c r="S23" s="12">
        <f t="shared" si="14"/>
        <v>-14</v>
      </c>
      <c r="T23" s="12">
        <f t="shared" si="15"/>
        <v>-734.681271000001</v>
      </c>
      <c r="U23" s="19">
        <f t="shared" si="16"/>
        <v>-2</v>
      </c>
      <c r="V23" s="19">
        <f t="shared" si="17"/>
        <v>-2.82350478964358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688</v>
      </c>
      <c r="AJ23" s="47">
        <v>25410.307315</v>
      </c>
      <c r="AK23" s="47">
        <v>688</v>
      </c>
      <c r="AL23" s="47">
        <v>25410.307315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486</v>
      </c>
      <c r="D24" s="12">
        <v>15569.17</v>
      </c>
      <c r="E24" s="12">
        <f t="shared" si="1"/>
        <v>1</v>
      </c>
      <c r="F24" s="12">
        <f t="shared" si="2"/>
        <v>7.39999999999964</v>
      </c>
      <c r="G24" s="12">
        <f t="shared" si="3"/>
        <v>15</v>
      </c>
      <c r="H24" s="12">
        <f t="shared" si="4"/>
        <v>980.77</v>
      </c>
      <c r="I24" s="12">
        <f t="shared" si="5"/>
        <v>15</v>
      </c>
      <c r="J24" s="12">
        <f t="shared" si="6"/>
        <v>980.77</v>
      </c>
      <c r="K24" s="12">
        <f t="shared" si="18"/>
        <v>-36</v>
      </c>
      <c r="L24" s="12">
        <f t="shared" si="7"/>
        <v>162.78</v>
      </c>
      <c r="M24" s="19">
        <f t="shared" si="8"/>
        <v>3.18471337579618</v>
      </c>
      <c r="N24" s="19">
        <f t="shared" si="9"/>
        <v>6.72294425708097</v>
      </c>
      <c r="O24" s="12">
        <f t="shared" si="10"/>
        <v>486</v>
      </c>
      <c r="P24" s="12">
        <f t="shared" si="11"/>
        <v>15569.17</v>
      </c>
      <c r="Q24" s="12">
        <f t="shared" si="12"/>
        <v>15</v>
      </c>
      <c r="R24" s="12">
        <f t="shared" si="13"/>
        <v>980.77</v>
      </c>
      <c r="S24" s="30">
        <f t="shared" si="14"/>
        <v>15</v>
      </c>
      <c r="T24" s="12">
        <f t="shared" si="15"/>
        <v>980.77</v>
      </c>
      <c r="U24" s="19">
        <f t="shared" si="16"/>
        <v>3.18471337579618</v>
      </c>
      <c r="V24" s="19">
        <f t="shared" si="17"/>
        <v>6.72294425708097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485</v>
      </c>
      <c r="AJ24" s="47">
        <v>15561.77</v>
      </c>
      <c r="AK24" s="47">
        <v>485</v>
      </c>
      <c r="AL24" s="47">
        <v>15561.77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494</v>
      </c>
      <c r="D25" s="12">
        <v>15648.212099</v>
      </c>
      <c r="E25" s="12">
        <f t="shared" si="1"/>
        <v>0</v>
      </c>
      <c r="F25" s="12">
        <f t="shared" si="2"/>
        <v>68.3612000000012</v>
      </c>
      <c r="G25" s="12">
        <f t="shared" si="3"/>
        <v>12</v>
      </c>
      <c r="H25" s="12">
        <f t="shared" si="4"/>
        <v>-478.664917</v>
      </c>
      <c r="I25" s="12">
        <f t="shared" si="5"/>
        <v>12</v>
      </c>
      <c r="J25" s="12">
        <f t="shared" si="6"/>
        <v>-478.664917</v>
      </c>
      <c r="K25" s="12">
        <f t="shared" si="18"/>
        <v>-13</v>
      </c>
      <c r="L25" s="12">
        <f t="shared" si="7"/>
        <v>-1359.844917</v>
      </c>
      <c r="M25" s="19">
        <f t="shared" si="8"/>
        <v>2.4896265560166</v>
      </c>
      <c r="N25" s="19">
        <f t="shared" si="9"/>
        <v>-2.96811910033853</v>
      </c>
      <c r="O25" s="12">
        <f t="shared" si="10"/>
        <v>494</v>
      </c>
      <c r="P25" s="12">
        <f t="shared" si="11"/>
        <v>15648.212099</v>
      </c>
      <c r="Q25" s="12">
        <f t="shared" si="12"/>
        <v>12</v>
      </c>
      <c r="R25" s="12">
        <f t="shared" si="13"/>
        <v>-478.664917</v>
      </c>
      <c r="S25" s="12">
        <f t="shared" si="14"/>
        <v>12</v>
      </c>
      <c r="T25" s="12">
        <f t="shared" si="15"/>
        <v>-478.664917</v>
      </c>
      <c r="U25" s="19">
        <f t="shared" si="16"/>
        <v>2.4896265560166</v>
      </c>
      <c r="V25" s="19">
        <f t="shared" si="17"/>
        <v>-2.96811910033853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494</v>
      </c>
      <c r="AJ25" s="47">
        <v>15579.850899</v>
      </c>
      <c r="AK25" s="47">
        <v>494</v>
      </c>
      <c r="AL25" s="47">
        <v>15579.850899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267</v>
      </c>
      <c r="D26" s="12">
        <v>10303.676865</v>
      </c>
      <c r="E26" s="12">
        <f t="shared" si="1"/>
        <v>0</v>
      </c>
      <c r="F26" s="12">
        <f t="shared" si="2"/>
        <v>-25.8966240000009</v>
      </c>
      <c r="G26" s="12">
        <f t="shared" si="3"/>
        <v>-10</v>
      </c>
      <c r="H26" s="12">
        <f t="shared" si="4"/>
        <v>-518.74869</v>
      </c>
      <c r="I26" s="12">
        <f t="shared" si="5"/>
        <v>-10</v>
      </c>
      <c r="J26" s="12">
        <f t="shared" si="6"/>
        <v>-518.74869</v>
      </c>
      <c r="K26" s="12">
        <f t="shared" si="18"/>
        <v>-30</v>
      </c>
      <c r="L26" s="12">
        <f t="shared" si="7"/>
        <v>-1222.75869</v>
      </c>
      <c r="M26" s="19">
        <f t="shared" si="8"/>
        <v>-3.6101083032491</v>
      </c>
      <c r="N26" s="19">
        <f t="shared" si="9"/>
        <v>-4.79327566046723</v>
      </c>
      <c r="O26" s="12">
        <f t="shared" si="10"/>
        <v>267</v>
      </c>
      <c r="P26" s="12">
        <f t="shared" si="11"/>
        <v>10303.676865</v>
      </c>
      <c r="Q26" s="12">
        <f t="shared" si="12"/>
        <v>-10</v>
      </c>
      <c r="R26" s="12">
        <f t="shared" si="13"/>
        <v>-518.74869</v>
      </c>
      <c r="S26" s="12">
        <f t="shared" si="14"/>
        <v>-10</v>
      </c>
      <c r="T26" s="12">
        <f t="shared" si="15"/>
        <v>-518.74869</v>
      </c>
      <c r="U26" s="19">
        <f t="shared" si="16"/>
        <v>-3.6101083032491</v>
      </c>
      <c r="V26" s="19">
        <f t="shared" si="17"/>
        <v>-4.79327566046723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267</v>
      </c>
      <c r="AJ26" s="47">
        <v>10329.573489</v>
      </c>
      <c r="AK26" s="47">
        <v>267</v>
      </c>
      <c r="AL26" s="47">
        <v>10329.573489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333</v>
      </c>
      <c r="D27" s="12">
        <v>10947.793604</v>
      </c>
      <c r="E27" s="12">
        <f t="shared" si="1"/>
        <v>1</v>
      </c>
      <c r="F27" s="12">
        <f t="shared" si="2"/>
        <v>134.5</v>
      </c>
      <c r="G27" s="12">
        <f t="shared" si="3"/>
        <v>5</v>
      </c>
      <c r="H27" s="12">
        <f t="shared" si="4"/>
        <v>-470.671355999999</v>
      </c>
      <c r="I27" s="12">
        <f t="shared" si="5"/>
        <v>5</v>
      </c>
      <c r="J27" s="12">
        <f t="shared" si="6"/>
        <v>-470.671355999999</v>
      </c>
      <c r="K27" s="12">
        <f t="shared" si="18"/>
        <v>-27</v>
      </c>
      <c r="L27" s="12">
        <f t="shared" si="7"/>
        <v>-1094.941356</v>
      </c>
      <c r="M27" s="19">
        <f t="shared" si="8"/>
        <v>1.52439024390244</v>
      </c>
      <c r="N27" s="19">
        <f t="shared" si="9"/>
        <v>-4.12201953282518</v>
      </c>
      <c r="O27" s="12">
        <f t="shared" si="10"/>
        <v>333</v>
      </c>
      <c r="P27" s="12">
        <f t="shared" si="11"/>
        <v>10947.793604</v>
      </c>
      <c r="Q27" s="12">
        <f t="shared" si="12"/>
        <v>5</v>
      </c>
      <c r="R27" s="12">
        <f t="shared" si="13"/>
        <v>-470.671355999999</v>
      </c>
      <c r="S27" s="12">
        <f t="shared" si="14"/>
        <v>5</v>
      </c>
      <c r="T27" s="12">
        <f t="shared" si="15"/>
        <v>-470.671355999999</v>
      </c>
      <c r="U27" s="19">
        <f t="shared" si="16"/>
        <v>1.52439024390244</v>
      </c>
      <c r="V27" s="19">
        <f t="shared" si="17"/>
        <v>-4.12201953282518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332</v>
      </c>
      <c r="AJ27" s="47">
        <v>10813.293604</v>
      </c>
      <c r="AK27" s="47">
        <v>332</v>
      </c>
      <c r="AL27" s="47">
        <v>10813.293604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371</v>
      </c>
      <c r="D28" s="12">
        <v>19530.876756</v>
      </c>
      <c r="E28" s="12">
        <f t="shared" si="1"/>
        <v>1</v>
      </c>
      <c r="F28" s="12">
        <f t="shared" si="2"/>
        <v>56.75</v>
      </c>
      <c r="G28" s="12">
        <f t="shared" si="3"/>
        <v>9</v>
      </c>
      <c r="H28" s="12">
        <f t="shared" si="4"/>
        <v>-520.934283999999</v>
      </c>
      <c r="I28" s="12">
        <f t="shared" si="5"/>
        <v>9</v>
      </c>
      <c r="J28" s="12">
        <f t="shared" si="6"/>
        <v>-520.934283999999</v>
      </c>
      <c r="K28" s="12">
        <f t="shared" si="18"/>
        <v>-31</v>
      </c>
      <c r="L28" s="12">
        <f t="shared" si="7"/>
        <v>-1401.664284</v>
      </c>
      <c r="M28" s="19">
        <f t="shared" si="8"/>
        <v>2.48618784530387</v>
      </c>
      <c r="N28" s="19">
        <f t="shared" si="9"/>
        <v>-2.59794131792297</v>
      </c>
      <c r="O28" s="12">
        <f t="shared" si="10"/>
        <v>371</v>
      </c>
      <c r="P28" s="12">
        <f t="shared" si="11"/>
        <v>19530.876756</v>
      </c>
      <c r="Q28" s="12">
        <f t="shared" si="12"/>
        <v>9</v>
      </c>
      <c r="R28" s="12">
        <f t="shared" si="13"/>
        <v>-520.934283999999</v>
      </c>
      <c r="S28" s="12">
        <f t="shared" si="14"/>
        <v>9</v>
      </c>
      <c r="T28" s="12">
        <f t="shared" si="15"/>
        <v>-520.934283999999</v>
      </c>
      <c r="U28" s="19">
        <f t="shared" si="16"/>
        <v>2.48618784530387</v>
      </c>
      <c r="V28" s="19">
        <f t="shared" si="17"/>
        <v>-2.59794131792297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370</v>
      </c>
      <c r="AJ28" s="47">
        <v>19474.126756</v>
      </c>
      <c r="AK28" s="47">
        <v>370</v>
      </c>
      <c r="AL28" s="47">
        <v>19474.126756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327</v>
      </c>
      <c r="D29" s="12">
        <v>11188.619473</v>
      </c>
      <c r="E29" s="12">
        <f t="shared" si="1"/>
        <v>-5</v>
      </c>
      <c r="F29" s="12">
        <f t="shared" si="2"/>
        <v>-369.139999999999</v>
      </c>
      <c r="G29" s="12">
        <f t="shared" si="3"/>
        <v>-1</v>
      </c>
      <c r="H29" s="12">
        <f t="shared" si="4"/>
        <v>-806.043135</v>
      </c>
      <c r="I29" s="12">
        <f t="shared" si="5"/>
        <v>-1</v>
      </c>
      <c r="J29" s="12">
        <f t="shared" si="6"/>
        <v>-806.043135</v>
      </c>
      <c r="K29" s="12">
        <f t="shared" si="18"/>
        <v>-36</v>
      </c>
      <c r="L29" s="12">
        <f t="shared" si="7"/>
        <v>-1353.753135</v>
      </c>
      <c r="M29" s="19">
        <f t="shared" si="8"/>
        <v>-0.304878048780488</v>
      </c>
      <c r="N29" s="19">
        <f t="shared" si="9"/>
        <v>-6.72001507122342</v>
      </c>
      <c r="O29" s="12">
        <f t="shared" si="10"/>
        <v>328</v>
      </c>
      <c r="P29" s="12">
        <f t="shared" si="11"/>
        <v>11688.619473</v>
      </c>
      <c r="Q29" s="12">
        <f t="shared" si="12"/>
        <v>0</v>
      </c>
      <c r="R29" s="12">
        <f t="shared" si="13"/>
        <v>-306.043135</v>
      </c>
      <c r="S29" s="12">
        <f t="shared" si="14"/>
        <v>0</v>
      </c>
      <c r="T29" s="12">
        <f t="shared" si="15"/>
        <v>-306.043135</v>
      </c>
      <c r="U29" s="19">
        <f t="shared" si="16"/>
        <v>0</v>
      </c>
      <c r="V29" s="19">
        <f t="shared" si="17"/>
        <v>-2.55149431878042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332</v>
      </c>
      <c r="AJ29" s="47">
        <v>11557.759473</v>
      </c>
      <c r="AK29" s="47">
        <v>333</v>
      </c>
      <c r="AL29" s="47">
        <v>12057.759473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363</v>
      </c>
      <c r="D30" s="12">
        <v>10018.642895</v>
      </c>
      <c r="E30" s="12">
        <f t="shared" si="1"/>
        <v>-2</v>
      </c>
      <c r="F30" s="12">
        <f t="shared" si="2"/>
        <v>-35.3999999999996</v>
      </c>
      <c r="G30" s="12">
        <f t="shared" si="3"/>
        <v>40</v>
      </c>
      <c r="H30" s="12">
        <f t="shared" si="4"/>
        <v>899.404745000002</v>
      </c>
      <c r="I30" s="12">
        <f t="shared" si="5"/>
        <v>40</v>
      </c>
      <c r="J30" s="12">
        <f t="shared" si="6"/>
        <v>899.404745000002</v>
      </c>
      <c r="K30" s="12">
        <f t="shared" si="18"/>
        <v>-55</v>
      </c>
      <c r="L30" s="12">
        <f t="shared" si="7"/>
        <v>-120.735254999998</v>
      </c>
      <c r="M30" s="19">
        <f t="shared" si="8"/>
        <v>12.3839009287926</v>
      </c>
      <c r="N30" s="19">
        <f t="shared" si="9"/>
        <v>9.86271802760192</v>
      </c>
      <c r="O30" s="12">
        <f t="shared" si="10"/>
        <v>363</v>
      </c>
      <c r="P30" s="12">
        <f t="shared" si="11"/>
        <v>10018.642895</v>
      </c>
      <c r="Q30" s="12">
        <f t="shared" si="12"/>
        <v>40</v>
      </c>
      <c r="R30" s="12">
        <f t="shared" si="13"/>
        <v>899.404745000002</v>
      </c>
      <c r="S30" s="12">
        <f t="shared" si="14"/>
        <v>40</v>
      </c>
      <c r="T30" s="12">
        <f t="shared" si="15"/>
        <v>899.404745000002</v>
      </c>
      <c r="U30" s="19">
        <f t="shared" si="16"/>
        <v>12.3839009287926</v>
      </c>
      <c r="V30" s="19">
        <f t="shared" si="17"/>
        <v>9.86271802760192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365</v>
      </c>
      <c r="AJ30" s="47">
        <v>10054.042895</v>
      </c>
      <c r="AK30" s="47">
        <v>365</v>
      </c>
      <c r="AL30" s="47">
        <v>10054.042895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361</v>
      </c>
      <c r="D31" s="12">
        <v>10509.107668</v>
      </c>
      <c r="E31" s="12">
        <f t="shared" si="1"/>
        <v>0</v>
      </c>
      <c r="F31" s="12">
        <f t="shared" si="2"/>
        <v>-37.1800000000003</v>
      </c>
      <c r="G31" s="12">
        <f t="shared" si="3"/>
        <v>-4</v>
      </c>
      <c r="H31" s="12">
        <f t="shared" si="4"/>
        <v>-572.402066999999</v>
      </c>
      <c r="I31" s="12">
        <f t="shared" si="5"/>
        <v>-4</v>
      </c>
      <c r="J31" s="12">
        <f t="shared" si="6"/>
        <v>-572.402066999999</v>
      </c>
      <c r="K31" s="12">
        <f t="shared" si="18"/>
        <v>-52</v>
      </c>
      <c r="L31" s="12">
        <f t="shared" si="7"/>
        <v>-1082.372067</v>
      </c>
      <c r="M31" s="19">
        <f t="shared" si="8"/>
        <v>-1.0958904109589</v>
      </c>
      <c r="N31" s="19">
        <f t="shared" si="9"/>
        <v>-5.16537981455827</v>
      </c>
      <c r="O31" s="12">
        <f t="shared" si="10"/>
        <v>361</v>
      </c>
      <c r="P31" s="12">
        <f t="shared" si="11"/>
        <v>10509.107668</v>
      </c>
      <c r="Q31" s="12">
        <f t="shared" si="12"/>
        <v>-4</v>
      </c>
      <c r="R31" s="12">
        <f t="shared" si="13"/>
        <v>-572.402066999999</v>
      </c>
      <c r="S31" s="12">
        <f t="shared" si="14"/>
        <v>-4</v>
      </c>
      <c r="T31" s="12">
        <f t="shared" si="15"/>
        <v>-572.402066999999</v>
      </c>
      <c r="U31" s="19">
        <f t="shared" si="16"/>
        <v>-1.0958904109589</v>
      </c>
      <c r="V31" s="19">
        <f t="shared" si="17"/>
        <v>-5.16537981455827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361</v>
      </c>
      <c r="AJ31" s="47">
        <v>10546.287668</v>
      </c>
      <c r="AK31" s="47">
        <v>361</v>
      </c>
      <c r="AL31" s="47">
        <v>10546.287668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517</v>
      </c>
      <c r="D32" s="12">
        <v>12729.329772</v>
      </c>
      <c r="E32" s="12">
        <f t="shared" si="1"/>
        <v>-1</v>
      </c>
      <c r="F32" s="12">
        <f t="shared" si="2"/>
        <v>-91.5666740000015</v>
      </c>
      <c r="G32" s="12">
        <f t="shared" si="3"/>
        <v>17</v>
      </c>
      <c r="H32" s="12">
        <f t="shared" si="4"/>
        <v>278.664269999999</v>
      </c>
      <c r="I32" s="12">
        <f t="shared" si="5"/>
        <v>17</v>
      </c>
      <c r="J32" s="12">
        <f t="shared" si="6"/>
        <v>278.664269999999</v>
      </c>
      <c r="K32" s="12">
        <f t="shared" si="18"/>
        <v>-43</v>
      </c>
      <c r="L32" s="12">
        <f t="shared" si="7"/>
        <v>-73.2257299999997</v>
      </c>
      <c r="M32" s="19">
        <f t="shared" si="8"/>
        <v>3.4</v>
      </c>
      <c r="N32" s="19">
        <f t="shared" si="9"/>
        <v>2.23814759102826</v>
      </c>
      <c r="O32" s="12">
        <f t="shared" si="10"/>
        <v>517</v>
      </c>
      <c r="P32" s="12">
        <f t="shared" si="11"/>
        <v>12729.329772</v>
      </c>
      <c r="Q32" s="12">
        <f t="shared" si="12"/>
        <v>17</v>
      </c>
      <c r="R32" s="12">
        <f t="shared" si="13"/>
        <v>278.664269999999</v>
      </c>
      <c r="S32" s="30">
        <f t="shared" si="14"/>
        <v>17</v>
      </c>
      <c r="T32" s="12">
        <f t="shared" si="15"/>
        <v>278.664269999999</v>
      </c>
      <c r="U32" s="19">
        <f t="shared" si="16"/>
        <v>3.4</v>
      </c>
      <c r="V32" s="19">
        <f t="shared" si="17"/>
        <v>2.23814759102826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518</v>
      </c>
      <c r="AJ32" s="47">
        <v>12820.896446</v>
      </c>
      <c r="AK32" s="47">
        <v>518</v>
      </c>
      <c r="AL32" s="47">
        <v>12820.896446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2124</v>
      </c>
      <c r="D33" s="12">
        <v>94622.61709</v>
      </c>
      <c r="E33" s="12">
        <f t="shared" si="1"/>
        <v>8</v>
      </c>
      <c r="F33" s="12">
        <f t="shared" si="2"/>
        <v>2955.47044799999</v>
      </c>
      <c r="G33" s="12">
        <f t="shared" si="3"/>
        <v>-16</v>
      </c>
      <c r="H33" s="12">
        <f t="shared" si="4"/>
        <v>-4104.21275399991</v>
      </c>
      <c r="I33" s="12">
        <f t="shared" si="5"/>
        <v>-16</v>
      </c>
      <c r="J33" s="12">
        <f t="shared" si="6"/>
        <v>-4104.21275399991</v>
      </c>
      <c r="K33" s="12">
        <f t="shared" si="18"/>
        <v>-47</v>
      </c>
      <c r="L33" s="12">
        <f t="shared" si="7"/>
        <v>-2763.29275399991</v>
      </c>
      <c r="M33" s="19">
        <f t="shared" si="8"/>
        <v>-0.747663551401869</v>
      </c>
      <c r="N33" s="19">
        <f t="shared" si="9"/>
        <v>-4.15714022265786</v>
      </c>
      <c r="O33" s="12">
        <f t="shared" si="10"/>
        <v>2124</v>
      </c>
      <c r="P33" s="12">
        <f t="shared" si="11"/>
        <v>94622.61709</v>
      </c>
      <c r="Q33" s="12">
        <f t="shared" si="12"/>
        <v>-16</v>
      </c>
      <c r="R33" s="12">
        <f t="shared" si="13"/>
        <v>-4104.21275399991</v>
      </c>
      <c r="S33" s="30">
        <f t="shared" si="14"/>
        <v>-16</v>
      </c>
      <c r="T33" s="12">
        <f t="shared" si="15"/>
        <v>-4104.21275399991</v>
      </c>
      <c r="U33" s="19">
        <f t="shared" si="16"/>
        <v>-0.747663551401869</v>
      </c>
      <c r="V33" s="19">
        <f t="shared" si="17"/>
        <v>-4.15714022265786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2116</v>
      </c>
      <c r="AJ33" s="47">
        <v>91667.146642</v>
      </c>
      <c r="AK33" s="47">
        <v>2116</v>
      </c>
      <c r="AL33" s="47">
        <v>91667.146642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622</v>
      </c>
      <c r="D34" s="12">
        <v>28119.047665</v>
      </c>
      <c r="E34" s="12">
        <f t="shared" si="1"/>
        <v>1</v>
      </c>
      <c r="F34" s="12">
        <f t="shared" si="2"/>
        <v>16.7959699999992</v>
      </c>
      <c r="G34" s="12">
        <f t="shared" si="3"/>
        <v>13</v>
      </c>
      <c r="H34" s="12">
        <f t="shared" si="4"/>
        <v>838.343854999999</v>
      </c>
      <c r="I34" s="12">
        <f t="shared" si="5"/>
        <v>13</v>
      </c>
      <c r="J34" s="12">
        <f t="shared" si="6"/>
        <v>838.343854999999</v>
      </c>
      <c r="K34" s="12">
        <f t="shared" si="18"/>
        <v>-19</v>
      </c>
      <c r="L34" s="12">
        <f t="shared" si="7"/>
        <v>-417.176145000001</v>
      </c>
      <c r="M34" s="19">
        <f t="shared" si="8"/>
        <v>2.13464696223317</v>
      </c>
      <c r="N34" s="19">
        <f t="shared" si="9"/>
        <v>3.07302869031075</v>
      </c>
      <c r="O34" s="12">
        <f t="shared" si="10"/>
        <v>622</v>
      </c>
      <c r="P34" s="12">
        <f t="shared" si="11"/>
        <v>28119.047665</v>
      </c>
      <c r="Q34" s="12">
        <f t="shared" si="12"/>
        <v>13</v>
      </c>
      <c r="R34" s="12">
        <f t="shared" si="13"/>
        <v>838.343854999999</v>
      </c>
      <c r="S34" s="12">
        <f t="shared" si="14"/>
        <v>13</v>
      </c>
      <c r="T34" s="12">
        <f t="shared" si="15"/>
        <v>838.343854999999</v>
      </c>
      <c r="U34" s="19">
        <f t="shared" si="16"/>
        <v>2.13464696223317</v>
      </c>
      <c r="V34" s="19">
        <f t="shared" si="17"/>
        <v>3.07302869031075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621</v>
      </c>
      <c r="AJ34" s="47">
        <v>28102.251695</v>
      </c>
      <c r="AK34" s="47">
        <v>621</v>
      </c>
      <c r="AL34" s="47">
        <v>28102.251695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2491</v>
      </c>
      <c r="D35" s="12">
        <v>96844</v>
      </c>
      <c r="E35" s="12">
        <f t="shared" si="1"/>
        <v>1</v>
      </c>
      <c r="F35" s="12">
        <f t="shared" si="2"/>
        <v>178</v>
      </c>
      <c r="G35" s="12">
        <f t="shared" si="3"/>
        <v>-30</v>
      </c>
      <c r="H35" s="12">
        <f t="shared" si="4"/>
        <v>-560</v>
      </c>
      <c r="I35" s="12">
        <f t="shared" si="5"/>
        <v>-30</v>
      </c>
      <c r="J35" s="12">
        <f t="shared" si="6"/>
        <v>-560</v>
      </c>
      <c r="K35" s="12">
        <f t="shared" si="18"/>
        <v>-153</v>
      </c>
      <c r="L35" s="12">
        <f t="shared" si="7"/>
        <v>-5874</v>
      </c>
      <c r="M35" s="19">
        <f t="shared" si="8"/>
        <v>-1.19000396667989</v>
      </c>
      <c r="N35" s="19">
        <f t="shared" si="9"/>
        <v>-0.57492505441255</v>
      </c>
      <c r="O35" s="12">
        <f t="shared" si="10"/>
        <v>2491</v>
      </c>
      <c r="P35" s="12">
        <f t="shared" si="11"/>
        <v>96844</v>
      </c>
      <c r="Q35" s="12">
        <f t="shared" si="12"/>
        <v>-30</v>
      </c>
      <c r="R35" s="12">
        <f t="shared" si="13"/>
        <v>-560</v>
      </c>
      <c r="S35" s="12">
        <f t="shared" si="14"/>
        <v>-30</v>
      </c>
      <c r="T35" s="12">
        <f t="shared" si="15"/>
        <v>-560</v>
      </c>
      <c r="U35" s="19">
        <f t="shared" si="16"/>
        <v>-1.19000396667989</v>
      </c>
      <c r="V35" s="19">
        <f t="shared" si="17"/>
        <v>-0.57492505441255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2490</v>
      </c>
      <c r="AJ35" s="47">
        <v>96666</v>
      </c>
      <c r="AK35" s="47">
        <v>2490</v>
      </c>
      <c r="AL35" s="47">
        <v>96666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2532</v>
      </c>
      <c r="D36" s="12">
        <v>84014</v>
      </c>
      <c r="E36" s="12">
        <f t="shared" si="1"/>
        <v>-2</v>
      </c>
      <c r="F36" s="12">
        <f t="shared" si="2"/>
        <v>-48</v>
      </c>
      <c r="G36" s="12">
        <f t="shared" si="3"/>
        <v>-11</v>
      </c>
      <c r="H36" s="12">
        <f t="shared" si="4"/>
        <v>-551</v>
      </c>
      <c r="I36" s="12">
        <f t="shared" si="5"/>
        <v>-11</v>
      </c>
      <c r="J36" s="12">
        <f t="shared" si="6"/>
        <v>-551</v>
      </c>
      <c r="K36" s="12">
        <f t="shared" si="18"/>
        <v>-14</v>
      </c>
      <c r="L36" s="12">
        <f t="shared" si="7"/>
        <v>-557</v>
      </c>
      <c r="M36" s="19">
        <f t="shared" si="8"/>
        <v>-0.432559968541093</v>
      </c>
      <c r="N36" s="19">
        <f t="shared" si="9"/>
        <v>-0.651569798379944</v>
      </c>
      <c r="O36" s="12">
        <f t="shared" si="10"/>
        <v>2532</v>
      </c>
      <c r="P36" s="12">
        <f t="shared" si="11"/>
        <v>84014</v>
      </c>
      <c r="Q36" s="12">
        <f t="shared" si="12"/>
        <v>-11</v>
      </c>
      <c r="R36" s="12">
        <f t="shared" si="13"/>
        <v>-551</v>
      </c>
      <c r="S36" s="12">
        <f t="shared" si="14"/>
        <v>-11</v>
      </c>
      <c r="T36" s="12">
        <f t="shared" si="15"/>
        <v>-551</v>
      </c>
      <c r="U36" s="19">
        <f t="shared" si="16"/>
        <v>-0.432559968541093</v>
      </c>
      <c r="V36" s="19">
        <f t="shared" si="17"/>
        <v>-0.651569798379944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2534</v>
      </c>
      <c r="AJ36" s="47">
        <v>84062</v>
      </c>
      <c r="AK36" s="47">
        <v>2534</v>
      </c>
      <c r="AL36" s="47">
        <v>84062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13386.438856</v>
      </c>
      <c r="E37" s="12">
        <f t="shared" si="1"/>
        <v>0</v>
      </c>
      <c r="F37" s="12">
        <f t="shared" si="2"/>
        <v>37.9500000000007</v>
      </c>
      <c r="G37" s="12">
        <f t="shared" si="3"/>
        <v>14</v>
      </c>
      <c r="H37" s="12">
        <f t="shared" si="4"/>
        <v>-266.74</v>
      </c>
      <c r="I37" s="12">
        <f t="shared" si="5"/>
        <v>14</v>
      </c>
      <c r="J37" s="12">
        <f t="shared" si="6"/>
        <v>-266.74</v>
      </c>
      <c r="K37" s="12">
        <f t="shared" si="18"/>
        <v>-30</v>
      </c>
      <c r="L37" s="12">
        <f t="shared" si="7"/>
        <v>-1272.35</v>
      </c>
      <c r="M37" s="19">
        <f t="shared" si="8"/>
        <v>4.77815699658703</v>
      </c>
      <c r="N37" s="19">
        <f t="shared" si="9"/>
        <v>-1.95368421386188</v>
      </c>
      <c r="O37" s="12">
        <f t="shared" si="10"/>
        <v>307</v>
      </c>
      <c r="P37" s="12">
        <f t="shared" si="11"/>
        <v>13386.438856</v>
      </c>
      <c r="Q37" s="12">
        <f t="shared" si="12"/>
        <v>14</v>
      </c>
      <c r="R37" s="12">
        <f t="shared" si="13"/>
        <v>-266.74</v>
      </c>
      <c r="S37" s="12">
        <f t="shared" si="14"/>
        <v>14</v>
      </c>
      <c r="T37" s="12">
        <f t="shared" si="15"/>
        <v>-266.74</v>
      </c>
      <c r="U37" s="19">
        <f t="shared" si="16"/>
        <v>4.77815699658703</v>
      </c>
      <c r="V37" s="19">
        <f t="shared" si="17"/>
        <v>-1.95368421386188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13348.488856</v>
      </c>
      <c r="AK37" s="47">
        <v>307</v>
      </c>
      <c r="AL37" s="47">
        <v>13348.488856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440</v>
      </c>
      <c r="D38" s="12">
        <v>19601.863485</v>
      </c>
      <c r="E38" s="12">
        <f t="shared" si="1"/>
        <v>1</v>
      </c>
      <c r="F38" s="12">
        <f t="shared" si="2"/>
        <v>462.5</v>
      </c>
      <c r="G38" s="12">
        <f t="shared" si="3"/>
        <v>-4</v>
      </c>
      <c r="H38" s="12">
        <f t="shared" si="4"/>
        <v>-126.861616999999</v>
      </c>
      <c r="I38" s="12">
        <f t="shared" si="5"/>
        <v>-4</v>
      </c>
      <c r="J38" s="12">
        <f t="shared" si="6"/>
        <v>-126.861616999999</v>
      </c>
      <c r="K38" s="12">
        <f t="shared" si="18"/>
        <v>-44</v>
      </c>
      <c r="L38" s="12">
        <f t="shared" si="7"/>
        <v>-1145.861617</v>
      </c>
      <c r="M38" s="19">
        <f t="shared" si="8"/>
        <v>-0.900900900900901</v>
      </c>
      <c r="N38" s="19">
        <f t="shared" si="9"/>
        <v>-0.643029979606427</v>
      </c>
      <c r="O38" s="12">
        <f t="shared" si="10"/>
        <v>440</v>
      </c>
      <c r="P38" s="12">
        <f t="shared" si="11"/>
        <v>19601.863485</v>
      </c>
      <c r="Q38" s="12">
        <f t="shared" si="12"/>
        <v>-4</v>
      </c>
      <c r="R38" s="12">
        <f t="shared" si="13"/>
        <v>-126.861616999999</v>
      </c>
      <c r="S38" s="12">
        <f t="shared" si="14"/>
        <v>-4</v>
      </c>
      <c r="T38" s="12">
        <f t="shared" si="15"/>
        <v>-126.861616999999</v>
      </c>
      <c r="U38" s="19">
        <f t="shared" si="16"/>
        <v>-0.900900900900901</v>
      </c>
      <c r="V38" s="19">
        <f t="shared" si="17"/>
        <v>-0.643029979606427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439</v>
      </c>
      <c r="AJ38" s="47">
        <v>19139.363485</v>
      </c>
      <c r="AK38" s="47">
        <v>439</v>
      </c>
      <c r="AL38" s="47">
        <v>19139.363485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422</v>
      </c>
      <c r="D39" s="12">
        <v>18601.605043</v>
      </c>
      <c r="E39" s="12">
        <f t="shared" si="1"/>
        <v>1</v>
      </c>
      <c r="F39" s="12">
        <f t="shared" si="2"/>
        <v>34.1100000000006</v>
      </c>
      <c r="G39" s="12">
        <f t="shared" si="3"/>
        <v>18</v>
      </c>
      <c r="H39" s="12">
        <f t="shared" si="4"/>
        <v>1043.16656</v>
      </c>
      <c r="I39" s="12">
        <f t="shared" si="5"/>
        <v>18</v>
      </c>
      <c r="J39" s="12">
        <f t="shared" si="6"/>
        <v>1043.16656</v>
      </c>
      <c r="K39" s="12">
        <f t="shared" si="18"/>
        <v>0</v>
      </c>
      <c r="L39" s="12">
        <f t="shared" si="7"/>
        <v>41.9865599999979</v>
      </c>
      <c r="M39" s="19">
        <f t="shared" si="8"/>
        <v>4.45544554455445</v>
      </c>
      <c r="N39" s="19">
        <f t="shared" si="9"/>
        <v>5.94111236605685</v>
      </c>
      <c r="O39" s="12">
        <f t="shared" si="10"/>
        <v>422</v>
      </c>
      <c r="P39" s="12">
        <f t="shared" si="11"/>
        <v>18601.605043</v>
      </c>
      <c r="Q39" s="12">
        <f t="shared" si="12"/>
        <v>18</v>
      </c>
      <c r="R39" s="12">
        <f t="shared" si="13"/>
        <v>1043.16656</v>
      </c>
      <c r="S39" s="12">
        <f t="shared" si="14"/>
        <v>18</v>
      </c>
      <c r="T39" s="12">
        <f t="shared" si="15"/>
        <v>1043.16656</v>
      </c>
      <c r="U39" s="19">
        <f t="shared" si="16"/>
        <v>4.45544554455445</v>
      </c>
      <c r="V39" s="19">
        <f t="shared" si="17"/>
        <v>5.94111236605685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421</v>
      </c>
      <c r="AJ39" s="47">
        <v>18567.495043</v>
      </c>
      <c r="AK39" s="47">
        <v>421</v>
      </c>
      <c r="AL39" s="47">
        <v>18567.495043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332</v>
      </c>
      <c r="D40" s="12">
        <v>429645.884804</v>
      </c>
      <c r="E40" s="12">
        <f t="shared" si="1"/>
        <v>0</v>
      </c>
      <c r="F40" s="12">
        <f t="shared" si="2"/>
        <v>-0.0900000000256114</v>
      </c>
      <c r="G40" s="12">
        <f t="shared" si="3"/>
        <v>8</v>
      </c>
      <c r="H40" s="12">
        <f t="shared" si="4"/>
        <v>11014.91</v>
      </c>
      <c r="I40" s="12">
        <f t="shared" si="5"/>
        <v>8</v>
      </c>
      <c r="J40" s="12">
        <f t="shared" si="6"/>
        <v>11014.91</v>
      </c>
      <c r="K40" s="12">
        <f t="shared" si="18"/>
        <v>-3</v>
      </c>
      <c r="L40" s="12">
        <f t="shared" si="7"/>
        <v>1791.93999999994</v>
      </c>
      <c r="M40" s="19">
        <f t="shared" si="8"/>
        <v>2.46913580246914</v>
      </c>
      <c r="N40" s="19">
        <f t="shared" si="9"/>
        <v>2.63117415168743</v>
      </c>
      <c r="O40" s="12">
        <f t="shared" si="10"/>
        <v>331</v>
      </c>
      <c r="P40" s="12">
        <f t="shared" si="11"/>
        <v>429145.884804</v>
      </c>
      <c r="Q40" s="12">
        <f t="shared" si="12"/>
        <v>7</v>
      </c>
      <c r="R40" s="12">
        <f t="shared" si="13"/>
        <v>10514.91</v>
      </c>
      <c r="S40" s="12">
        <f t="shared" si="14"/>
        <v>7</v>
      </c>
      <c r="T40" s="12">
        <f t="shared" si="15"/>
        <v>10514.91</v>
      </c>
      <c r="U40" s="19">
        <f t="shared" si="16"/>
        <v>2.16049382716049</v>
      </c>
      <c r="V40" s="19">
        <f t="shared" si="17"/>
        <v>2.51173721794547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332</v>
      </c>
      <c r="AJ40" s="47">
        <v>429645.974804</v>
      </c>
      <c r="AK40" s="47">
        <v>331</v>
      </c>
      <c r="AL40" s="47">
        <v>429145.974804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17522.755926</v>
      </c>
      <c r="E41" s="12">
        <f t="shared" si="1"/>
        <v>0</v>
      </c>
      <c r="F41" s="12">
        <f t="shared" si="2"/>
        <v>0</v>
      </c>
      <c r="G41" s="12">
        <f t="shared" si="3"/>
        <v>-1</v>
      </c>
      <c r="H41" s="12">
        <f t="shared" si="4"/>
        <v>-83.0701889999982</v>
      </c>
      <c r="I41" s="12">
        <f t="shared" si="5"/>
        <v>-1</v>
      </c>
      <c r="J41" s="12">
        <f t="shared" si="6"/>
        <v>-83.0701889999982</v>
      </c>
      <c r="K41" s="12">
        <f t="shared" si="18"/>
        <v>-35</v>
      </c>
      <c r="L41" s="12">
        <f t="shared" si="7"/>
        <v>-1003.830189</v>
      </c>
      <c r="M41" s="19">
        <f t="shared" si="8"/>
        <v>-0.284090909090909</v>
      </c>
      <c r="N41" s="19">
        <f t="shared" si="9"/>
        <v>-0.471833519525807</v>
      </c>
      <c r="O41" s="12">
        <f>C41+W41+AA41-AC41+Y41</f>
        <v>351</v>
      </c>
      <c r="P41" s="12">
        <f>D41+X41+AB41-AD41+Z41</f>
        <v>17522.755926</v>
      </c>
      <c r="Q41" s="12">
        <f t="shared" si="12"/>
        <v>-1</v>
      </c>
      <c r="R41" s="12">
        <f t="shared" si="13"/>
        <v>-83.0701889999982</v>
      </c>
      <c r="S41" s="12">
        <f t="shared" si="14"/>
        <v>-1</v>
      </c>
      <c r="T41" s="12">
        <f t="shared" si="15"/>
        <v>-83.0701889999982</v>
      </c>
      <c r="U41" s="19">
        <f t="shared" si="16"/>
        <v>-0.284090909090909</v>
      </c>
      <c r="V41" s="19">
        <f t="shared" si="17"/>
        <v>-0.471833519525807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17522.755926</v>
      </c>
      <c r="AK41" s="47">
        <v>351</v>
      </c>
      <c r="AL41" s="47">
        <v>17522.755926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1765447</v>
      </c>
      <c r="E42" s="16"/>
      <c r="F42" s="12">
        <v>22034</v>
      </c>
      <c r="G42" s="16"/>
      <c r="H42" s="12">
        <v>27505</v>
      </c>
      <c r="I42" s="16"/>
      <c r="J42" s="12">
        <v>27505</v>
      </c>
      <c r="K42" s="12"/>
      <c r="L42" s="12"/>
      <c r="M42" s="20"/>
      <c r="N42" s="19">
        <v>1.58</v>
      </c>
      <c r="O42" s="12" t="s">
        <v>65</v>
      </c>
      <c r="P42" s="12">
        <v>362139</v>
      </c>
      <c r="Q42" s="16"/>
      <c r="R42" s="12">
        <v>17639</v>
      </c>
      <c r="S42" s="16"/>
      <c r="T42" s="12">
        <v>17639</v>
      </c>
      <c r="U42" s="16"/>
      <c r="V42" s="19">
        <v>5.12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2026-01-20T01:06:26Z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