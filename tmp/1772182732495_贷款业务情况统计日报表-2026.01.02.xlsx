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<sst xmlns="http://schemas.openxmlformats.org/spreadsheetml/2006/main" count="139" uniqueCount="66">
  <si>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</si>
  <si>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2026.01.02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</si>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</sst>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24587</v>
      </c>
      <c r="D6" s="12">
        <f>SUM(D7:D41)</f>
        <v>1393288.050505</v>
      </c>
      <c r="E6" s="12">
        <f>C6-AI6</f>
        <v>-6</v>
      </c>
      <c r="F6" s="12">
        <f>D6-AJ6</f>
        <v>2542.75761300023</v>
      </c>
      <c r="G6" s="12">
        <f>C6-AM6</f>
        <v>-4</v>
      </c>
      <c r="H6" s="12">
        <f>D6-AN6</f>
        <v>-153.495481999824</v>
      </c>
      <c r="I6" s="12">
        <f>C6-AE6</f>
        <v>-4</v>
      </c>
      <c r="J6" s="12">
        <f>D6-AF6</f>
        <v>-153.495481999824</v>
      </c>
      <c r="K6" s="12">
        <f>I6-AS6</f>
        <v>-1536</v>
      </c>
      <c r="L6" s="12">
        <f>J6-AT6</f>
        <v>-44003.9854819996</v>
      </c>
      <c r="M6" s="19">
        <f>I6/AE6*100</f>
        <v>-0.0162661136188036</v>
      </c>
      <c r="N6" s="19">
        <f>J6/AF6*100</f>
        <v>-0.0110155666336976</v>
      </c>
      <c r="O6" s="12">
        <f>C6+Y6</f>
        <v>24587</v>
      </c>
      <c r="P6" s="12">
        <f>D6+Z6</f>
        <v>1393288.050505</v>
      </c>
      <c r="Q6" s="12">
        <f>O6-AO6</f>
        <v>-515</v>
      </c>
      <c r="R6" s="12">
        <f>P6-AP6</f>
        <v>-30270.4954819998</v>
      </c>
      <c r="S6" s="30">
        <f>O6-AG6</f>
        <v>-515</v>
      </c>
      <c r="T6" s="12">
        <f>P6-AH6</f>
        <v>-30270.4954819998</v>
      </c>
      <c r="U6" s="19">
        <f>S6/AG6*100</f>
        <v>-2.05162935224285</v>
      </c>
      <c r="V6" s="19">
        <f>T6/AH6*100</f>
        <v>-2.12639624603653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25102</v>
      </c>
      <c r="AH6" s="41">
        <v>1423558.545987</v>
      </c>
      <c r="AI6" s="47">
        <v>24593</v>
      </c>
      <c r="AJ6" s="47">
        <v>1390745.292892</v>
      </c>
      <c r="AK6" s="47">
        <v>24593</v>
      </c>
      <c r="AL6" s="48">
        <v>1390745.292892</v>
      </c>
      <c r="AM6" s="41">
        <v>24591</v>
      </c>
      <c r="AN6" s="41">
        <v>1393441.545987</v>
      </c>
      <c r="AO6" s="41">
        <v>25102</v>
      </c>
      <c r="AP6" s="49">
        <v>1423558.545987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1656</v>
      </c>
      <c r="D7" s="12">
        <v>81899.58929</v>
      </c>
      <c r="E7" s="12">
        <f>C7-AI7</f>
        <v>-1</v>
      </c>
      <c r="F7" s="12">
        <f>D7-AJ7</f>
        <v>-347.764278000002</v>
      </c>
      <c r="G7" s="12">
        <f>C7-AM7</f>
        <v>-1</v>
      </c>
      <c r="H7" s="12">
        <f>D7-AN7</f>
        <v>-510.326606000002</v>
      </c>
      <c r="I7" s="12">
        <f>C7-AE7</f>
        <v>-1</v>
      </c>
      <c r="J7" s="12">
        <f>D7-AF7</f>
        <v>-510.326606000002</v>
      </c>
      <c r="K7" s="12">
        <f t="shared" ref="K6:K12" si="0">I7-AS7</f>
        <v>-32</v>
      </c>
      <c r="L7" s="12">
        <f>J7-AT7</f>
        <v>-2017.86660600001</v>
      </c>
      <c r="M7" s="19">
        <f>I7/AE7*100</f>
        <v>-0.0603500301750151</v>
      </c>
      <c r="N7" s="19">
        <f>J7/AF7*100</f>
        <v>-0.619253885229086</v>
      </c>
      <c r="O7" s="12">
        <f>C7+W7+AA7-AC7</f>
        <v>1656</v>
      </c>
      <c r="P7" s="12">
        <f>D7+X7+AB7-AD7</f>
        <v>81899.58929</v>
      </c>
      <c r="Q7" s="12">
        <f>O7-AO7</f>
        <v>-28</v>
      </c>
      <c r="R7" s="12">
        <f>P7-AP7</f>
        <v>-2546.14829899999</v>
      </c>
      <c r="S7" s="12">
        <f>O7-AG7</f>
        <v>-28</v>
      </c>
      <c r="T7" s="12">
        <f>P7-AH7</f>
        <v>-2546.14829899999</v>
      </c>
      <c r="U7" s="19">
        <f>S7/AG7*100</f>
        <v>-1.66270783847981</v>
      </c>
      <c r="V7" s="19">
        <f>T7/AH7*100</f>
        <v>-3.01512944488942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1684</v>
      </c>
      <c r="AH7" s="41">
        <v>84445.737589</v>
      </c>
      <c r="AI7" s="47">
        <v>1657</v>
      </c>
      <c r="AJ7" s="47">
        <v>82247.353568</v>
      </c>
      <c r="AK7" s="47">
        <v>1657</v>
      </c>
      <c r="AL7" s="47">
        <v>82247.353568</v>
      </c>
      <c r="AM7" s="41">
        <v>1657</v>
      </c>
      <c r="AN7" s="41">
        <v>82409.915896</v>
      </c>
      <c r="AO7" s="41">
        <v>1684</v>
      </c>
      <c r="AP7" s="49">
        <v>84445.737589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1922</v>
      </c>
      <c r="D8" s="12">
        <v>122388.687727</v>
      </c>
      <c r="E8" s="12">
        <f>C8-AI8</f>
        <v>-2</v>
      </c>
      <c r="F8" s="12">
        <f>D8-AJ8</f>
        <v>-327.581067000006</v>
      </c>
      <c r="G8" s="12">
        <f>C8-AM8</f>
        <v>-3</v>
      </c>
      <c r="H8" s="12">
        <f>D8-AN8</f>
        <v>-839.681869000007</v>
      </c>
      <c r="I8" s="12">
        <f>C8-AE8</f>
        <v>-3</v>
      </c>
      <c r="J8" s="12">
        <f>D8-AF8</f>
        <v>-839.681869000007</v>
      </c>
      <c r="K8" s="12">
        <f t="shared" si="0"/>
        <v>-3</v>
      </c>
      <c r="L8" s="12">
        <f>J8-AT8</f>
        <v>274.168131000003</v>
      </c>
      <c r="M8" s="19">
        <f>I8/AE8*100</f>
        <v>-0.155844155844156</v>
      </c>
      <c r="N8" s="19">
        <f>J8/AF8*100</f>
        <v>-0.68140305008731</v>
      </c>
      <c r="O8" s="12">
        <f>C8+W8+AA8-AC8</f>
        <v>1922</v>
      </c>
      <c r="P8" s="12">
        <f>D8+X8+AB8-AD8</f>
        <v>122388.687727</v>
      </c>
      <c r="Q8" s="12">
        <f>O8-AO8</f>
        <v>-90</v>
      </c>
      <c r="R8" s="12">
        <f>P8-AP8</f>
        <v>-4581.09841800001</v>
      </c>
      <c r="S8" s="30">
        <f>O8-AG8</f>
        <v>-90</v>
      </c>
      <c r="T8" s="12">
        <f>P8-AH8</f>
        <v>-4581.09841800001</v>
      </c>
      <c r="U8" s="19">
        <f>S8/AG8*100</f>
        <v>-4.47316103379722</v>
      </c>
      <c r="V8" s="19">
        <f>T8/AH8*100</f>
        <v>-3.60802247297509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2012</v>
      </c>
      <c r="AH8" s="41">
        <v>126969.786145</v>
      </c>
      <c r="AI8" s="47">
        <v>1924</v>
      </c>
      <c r="AJ8" s="47">
        <v>122716.268794</v>
      </c>
      <c r="AK8" s="47">
        <v>1924</v>
      </c>
      <c r="AL8" s="47">
        <v>122716.268794</v>
      </c>
      <c r="AM8" s="41">
        <v>1925</v>
      </c>
      <c r="AN8" s="41">
        <v>123228.369596</v>
      </c>
      <c r="AO8" s="41">
        <v>2012</v>
      </c>
      <c r="AP8" s="49">
        <v>126969.786145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711</v>
      </c>
      <c r="D9" s="12">
        <v>23021.08005</v>
      </c>
      <c r="E9" s="12">
        <f t="shared" ref="E9:E41" si="1">C9-AI9</f>
        <v>-1</v>
      </c>
      <c r="F9" s="12">
        <f t="shared" ref="F9:F41" si="2">D9-AJ9</f>
        <v>97.7593760000018</v>
      </c>
      <c r="G9" s="12">
        <f t="shared" ref="G9:G41" si="3">C9-AM9</f>
        <v>-2</v>
      </c>
      <c r="H9" s="12">
        <f t="shared" ref="H9:H41" si="4">D9-AN9</f>
        <v>-97.2151860000013</v>
      </c>
      <c r="I9" s="12">
        <f t="shared" ref="I9:I41" si="5">C9-AE9</f>
        <v>-2</v>
      </c>
      <c r="J9" s="12">
        <f t="shared" ref="J9:J41" si="6">D9-AF9</f>
        <v>-97.2151860000013</v>
      </c>
      <c r="K9" s="12">
        <f t="shared" si="0"/>
        <v>-103</v>
      </c>
      <c r="L9" s="12">
        <f t="shared" ref="L9:L41" si="7">J9-AT9</f>
        <v>-1350.295186</v>
      </c>
      <c r="M9" s="19">
        <f t="shared" ref="M9:M41" si="8">I9/AE9*100</f>
        <v>-0.280504908835905</v>
      </c>
      <c r="N9" s="19">
        <f t="shared" ref="N9:N41" si="9">J9/AF9*100</f>
        <v>-0.420511914946985</v>
      </c>
      <c r="O9" s="12">
        <f t="shared" ref="O9:O40" si="10">C9+W9+AA9-AC9</f>
        <v>711</v>
      </c>
      <c r="P9" s="12">
        <f t="shared" ref="P9:P40" si="11">D9+X9+AB9-AD9</f>
        <v>23021.08005</v>
      </c>
      <c r="Q9" s="12">
        <f t="shared" ref="Q9:Q41" si="12">O9-AO9</f>
        <v>-16</v>
      </c>
      <c r="R9" s="12">
        <f t="shared" ref="R9:R41" si="13">P9-AP9</f>
        <v>-218.485185999998</v>
      </c>
      <c r="S9" s="12">
        <f t="shared" ref="S9:S41" si="14">O9-AG9</f>
        <v>-16</v>
      </c>
      <c r="T9" s="12">
        <f t="shared" ref="T9:T41" si="15">P9-AH9</f>
        <v>-218.485185999998</v>
      </c>
      <c r="U9" s="19">
        <f t="shared" ref="U9:U41" si="16">S9/AG9*100</f>
        <v>-2.20082530949106</v>
      </c>
      <c r="V9" s="19">
        <f t="shared" ref="V9:V41" si="17">T9/AH9*100</f>
        <v>-0.940143172995106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727</v>
      </c>
      <c r="AH9" s="41">
        <v>23239.565236</v>
      </c>
      <c r="AI9" s="47">
        <v>712</v>
      </c>
      <c r="AJ9" s="47">
        <v>22923.320674</v>
      </c>
      <c r="AK9" s="47">
        <v>712</v>
      </c>
      <c r="AL9" s="47">
        <v>22923.320674</v>
      </c>
      <c r="AM9" s="41">
        <v>713</v>
      </c>
      <c r="AN9" s="41">
        <v>23118.295236</v>
      </c>
      <c r="AO9" s="41">
        <v>727</v>
      </c>
      <c r="AP9" s="49">
        <v>23239.565236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896</v>
      </c>
      <c r="D10" s="12">
        <v>27895.121075</v>
      </c>
      <c r="E10" s="12">
        <f t="shared" si="1"/>
        <v>4</v>
      </c>
      <c r="F10" s="12">
        <f t="shared" si="2"/>
        <v>55.4199999999983</v>
      </c>
      <c r="G10" s="12">
        <f t="shared" si="3"/>
        <v>5</v>
      </c>
      <c r="H10" s="12">
        <f t="shared" si="4"/>
        <v>19.4199999999983</v>
      </c>
      <c r="I10" s="12">
        <f t="shared" si="5"/>
        <v>5</v>
      </c>
      <c r="J10" s="12">
        <f t="shared" si="6"/>
        <v>19.4199999999983</v>
      </c>
      <c r="K10" s="12">
        <f t="shared" si="0"/>
        <v>-13</v>
      </c>
      <c r="L10" s="12">
        <f t="shared" si="7"/>
        <v>-1691.35</v>
      </c>
      <c r="M10" s="19">
        <f t="shared" si="8"/>
        <v>0.561167227833894</v>
      </c>
      <c r="N10" s="19">
        <f t="shared" si="9"/>
        <v>0.0696664092779172</v>
      </c>
      <c r="O10" s="12">
        <f t="shared" si="10"/>
        <v>896</v>
      </c>
      <c r="P10" s="12">
        <f t="shared" si="11"/>
        <v>27895.121075</v>
      </c>
      <c r="Q10" s="12">
        <f t="shared" si="12"/>
        <v>-12</v>
      </c>
      <c r="R10" s="12">
        <f t="shared" si="13"/>
        <v>-673.455700000002</v>
      </c>
      <c r="S10" s="12">
        <f t="shared" si="14"/>
        <v>-12</v>
      </c>
      <c r="T10" s="12">
        <f t="shared" si="15"/>
        <v>-673.455700000002</v>
      </c>
      <c r="U10" s="19">
        <f t="shared" si="16"/>
        <v>-1.3215859030837</v>
      </c>
      <c r="V10" s="19">
        <f t="shared" si="17"/>
        <v>-2.35733024190878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908</v>
      </c>
      <c r="AH10" s="41">
        <v>28568.576775</v>
      </c>
      <c r="AI10" s="47">
        <v>892</v>
      </c>
      <c r="AJ10" s="47">
        <v>27839.701075</v>
      </c>
      <c r="AK10" s="47">
        <v>892</v>
      </c>
      <c r="AL10" s="47">
        <v>27839.701075</v>
      </c>
      <c r="AM10" s="41">
        <v>891</v>
      </c>
      <c r="AN10" s="41">
        <v>27875.701075</v>
      </c>
      <c r="AO10" s="41">
        <v>908</v>
      </c>
      <c r="AP10" s="49">
        <v>28568.576775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497</v>
      </c>
      <c r="D11" s="12">
        <v>12360.789519</v>
      </c>
      <c r="E11" s="12">
        <f t="shared" si="1"/>
        <v>0</v>
      </c>
      <c r="F11" s="12">
        <f t="shared" si="2"/>
        <v>28.6000000000004</v>
      </c>
      <c r="G11" s="12">
        <f t="shared" si="3"/>
        <v>6</v>
      </c>
      <c r="H11" s="12">
        <f t="shared" si="4"/>
        <v>219.317704999999</v>
      </c>
      <c r="I11" s="12">
        <f t="shared" si="5"/>
        <v>6</v>
      </c>
      <c r="J11" s="12">
        <f t="shared" si="6"/>
        <v>219.317704999999</v>
      </c>
      <c r="K11" s="12">
        <f t="shared" si="0"/>
        <v>-33</v>
      </c>
      <c r="L11" s="12">
        <f t="shared" si="7"/>
        <v>-717.342295</v>
      </c>
      <c r="M11" s="19">
        <f t="shared" si="8"/>
        <v>1.22199592668024</v>
      </c>
      <c r="N11" s="19">
        <f t="shared" si="9"/>
        <v>1.80635188517351</v>
      </c>
      <c r="O11" s="12">
        <f t="shared" si="10"/>
        <v>497</v>
      </c>
      <c r="P11" s="12">
        <f t="shared" si="11"/>
        <v>12360.789519</v>
      </c>
      <c r="Q11" s="12">
        <f t="shared" si="12"/>
        <v>-4</v>
      </c>
      <c r="R11" s="12">
        <f t="shared" si="13"/>
        <v>-182.936417999999</v>
      </c>
      <c r="S11" s="12">
        <f t="shared" si="14"/>
        <v>-4</v>
      </c>
      <c r="T11" s="12">
        <f t="shared" si="15"/>
        <v>-182.936417999999</v>
      </c>
      <c r="U11" s="19">
        <f t="shared" si="16"/>
        <v>-0.798403193612774</v>
      </c>
      <c r="V11" s="19">
        <f t="shared" si="17"/>
        <v>-1.45838978720346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501</v>
      </c>
      <c r="AH11" s="41">
        <v>12543.725937</v>
      </c>
      <c r="AI11" s="47">
        <v>497</v>
      </c>
      <c r="AJ11" s="47">
        <v>12332.189519</v>
      </c>
      <c r="AK11" s="47">
        <v>497</v>
      </c>
      <c r="AL11" s="47">
        <v>12332.189519</v>
      </c>
      <c r="AM11" s="41">
        <v>491</v>
      </c>
      <c r="AN11" s="41">
        <v>12141.471814</v>
      </c>
      <c r="AO11" s="41">
        <v>501</v>
      </c>
      <c r="AP11" s="49">
        <v>12543.725937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359</v>
      </c>
      <c r="D12" s="12">
        <v>13340.8916</v>
      </c>
      <c r="E12" s="12">
        <f t="shared" si="1"/>
        <v>5</v>
      </c>
      <c r="F12" s="12">
        <f t="shared" si="2"/>
        <v>10.6452630000003</v>
      </c>
      <c r="G12" s="12">
        <f t="shared" si="3"/>
        <v>1</v>
      </c>
      <c r="H12" s="12">
        <f t="shared" si="4"/>
        <v>-34.3547369999997</v>
      </c>
      <c r="I12" s="12">
        <f t="shared" si="5"/>
        <v>1</v>
      </c>
      <c r="J12" s="12">
        <f t="shared" si="6"/>
        <v>-34.3547369999997</v>
      </c>
      <c r="K12" s="12">
        <f t="shared" si="0"/>
        <v>-72</v>
      </c>
      <c r="L12" s="12">
        <f t="shared" si="7"/>
        <v>-1528.354737</v>
      </c>
      <c r="M12" s="19">
        <f t="shared" si="8"/>
        <v>0.279329608938547</v>
      </c>
      <c r="N12" s="19">
        <f t="shared" si="9"/>
        <v>-0.256853116080292</v>
      </c>
      <c r="O12" s="12">
        <f t="shared" si="10"/>
        <v>359</v>
      </c>
      <c r="P12" s="12">
        <f t="shared" si="11"/>
        <v>13340.8916</v>
      </c>
      <c r="Q12" s="12">
        <f t="shared" si="12"/>
        <v>-1</v>
      </c>
      <c r="R12" s="12">
        <f t="shared" si="13"/>
        <v>-354.180036999998</v>
      </c>
      <c r="S12" s="30">
        <f t="shared" si="14"/>
        <v>-1</v>
      </c>
      <c r="T12" s="12">
        <f t="shared" si="15"/>
        <v>-354.180036999998</v>
      </c>
      <c r="U12" s="19">
        <f t="shared" si="16"/>
        <v>-0.277777777777778</v>
      </c>
      <c r="V12" s="19">
        <f t="shared" si="17"/>
        <v>-2.58618608494978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360</v>
      </c>
      <c r="AH12" s="41">
        <v>13695.071637</v>
      </c>
      <c r="AI12" s="47">
        <v>354</v>
      </c>
      <c r="AJ12" s="47">
        <v>13330.246337</v>
      </c>
      <c r="AK12" s="47">
        <v>354</v>
      </c>
      <c r="AL12" s="47">
        <v>13330.246337</v>
      </c>
      <c r="AM12" s="41">
        <v>358</v>
      </c>
      <c r="AN12" s="41">
        <v>13375.246337</v>
      </c>
      <c r="AO12" s="41">
        <v>360</v>
      </c>
      <c r="AP12" s="49">
        <v>13695.071637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466</v>
      </c>
      <c r="D13" s="12">
        <v>11762.087533</v>
      </c>
      <c r="E13" s="12">
        <f t="shared" si="1"/>
        <v>0</v>
      </c>
      <c r="F13" s="12">
        <f t="shared" si="2"/>
        <v>-0.399999999999636</v>
      </c>
      <c r="G13" s="12">
        <f t="shared" si="3"/>
        <v>-3</v>
      </c>
      <c r="H13" s="12">
        <f t="shared" si="4"/>
        <v>-275.202083</v>
      </c>
      <c r="I13" s="12">
        <f t="shared" si="5"/>
        <v>-3</v>
      </c>
      <c r="J13" s="12">
        <f t="shared" si="6"/>
        <v>-275.202083</v>
      </c>
      <c r="K13" s="12">
        <f t="shared" ref="K9:K41" si="18">I13-AS13</f>
        <v>-6</v>
      </c>
      <c r="L13" s="12">
        <f t="shared" si="7"/>
        <v>-841.672083000001</v>
      </c>
      <c r="M13" s="19">
        <f t="shared" si="8"/>
        <v>-0.639658848614073</v>
      </c>
      <c r="N13" s="19">
        <f t="shared" si="9"/>
        <v>-2.28624625459041</v>
      </c>
      <c r="O13" s="12">
        <f t="shared" si="10"/>
        <v>466</v>
      </c>
      <c r="P13" s="12">
        <f t="shared" si="11"/>
        <v>11762.087533</v>
      </c>
      <c r="Q13" s="12">
        <f t="shared" si="12"/>
        <v>-16</v>
      </c>
      <c r="R13" s="12">
        <f t="shared" si="13"/>
        <v>-952.213883</v>
      </c>
      <c r="S13" s="12">
        <f t="shared" si="14"/>
        <v>-16</v>
      </c>
      <c r="T13" s="12">
        <f t="shared" si="15"/>
        <v>-952.213883</v>
      </c>
      <c r="U13" s="19">
        <f t="shared" si="16"/>
        <v>-3.3195020746888</v>
      </c>
      <c r="V13" s="19">
        <f t="shared" si="17"/>
        <v>-7.48931342623127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482</v>
      </c>
      <c r="AH13" s="41">
        <v>12714.301416</v>
      </c>
      <c r="AI13" s="47">
        <v>466</v>
      </c>
      <c r="AJ13" s="47">
        <v>11762.487533</v>
      </c>
      <c r="AK13" s="47">
        <v>466</v>
      </c>
      <c r="AL13" s="47">
        <v>11762.487533</v>
      </c>
      <c r="AM13" s="41">
        <v>469</v>
      </c>
      <c r="AN13" s="41">
        <v>12037.289616</v>
      </c>
      <c r="AO13" s="41">
        <v>482</v>
      </c>
      <c r="AP13" s="49">
        <v>12714.301416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348</v>
      </c>
      <c r="D14" s="12">
        <v>10555.356115</v>
      </c>
      <c r="E14" s="12">
        <f t="shared" si="1"/>
        <v>0</v>
      </c>
      <c r="F14" s="12">
        <f t="shared" si="2"/>
        <v>29.965067000001</v>
      </c>
      <c r="G14" s="12">
        <f t="shared" si="3"/>
        <v>0</v>
      </c>
      <c r="H14" s="12">
        <f t="shared" si="4"/>
        <v>-24.3349330000001</v>
      </c>
      <c r="I14" s="12">
        <f t="shared" si="5"/>
        <v>0</v>
      </c>
      <c r="J14" s="12">
        <f t="shared" si="6"/>
        <v>-24.3349330000001</v>
      </c>
      <c r="K14" s="12">
        <f t="shared" si="18"/>
        <v>-76</v>
      </c>
      <c r="L14" s="12">
        <f t="shared" si="7"/>
        <v>-941.634932999999</v>
      </c>
      <c r="M14" s="19">
        <f t="shared" si="8"/>
        <v>0</v>
      </c>
      <c r="N14" s="19">
        <f t="shared" si="9"/>
        <v>-0.230015535327002</v>
      </c>
      <c r="O14" s="12">
        <f t="shared" si="10"/>
        <v>348</v>
      </c>
      <c r="P14" s="12">
        <f t="shared" si="11"/>
        <v>10555.356115</v>
      </c>
      <c r="Q14" s="12">
        <f t="shared" si="12"/>
        <v>-4</v>
      </c>
      <c r="R14" s="12">
        <f t="shared" si="13"/>
        <v>-71.9030329999987</v>
      </c>
      <c r="S14" s="12">
        <f t="shared" si="14"/>
        <v>-4</v>
      </c>
      <c r="T14" s="12">
        <f t="shared" si="15"/>
        <v>-71.9030329999987</v>
      </c>
      <c r="U14" s="19">
        <f t="shared" si="16"/>
        <v>-1.13636363636364</v>
      </c>
      <c r="V14" s="19">
        <f t="shared" si="17"/>
        <v>-0.676590567696192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352</v>
      </c>
      <c r="AH14" s="41">
        <v>10627.259148</v>
      </c>
      <c r="AI14" s="47">
        <v>348</v>
      </c>
      <c r="AJ14" s="47">
        <v>10525.391048</v>
      </c>
      <c r="AK14" s="47">
        <v>348</v>
      </c>
      <c r="AL14" s="47">
        <v>10525.391048</v>
      </c>
      <c r="AM14" s="41">
        <v>348</v>
      </c>
      <c r="AN14" s="41">
        <v>10579.691048</v>
      </c>
      <c r="AO14" s="41">
        <v>352</v>
      </c>
      <c r="AP14" s="49">
        <v>10627.259148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675</v>
      </c>
      <c r="D15" s="12">
        <v>17605.773023</v>
      </c>
      <c r="E15" s="12">
        <f t="shared" si="1"/>
        <v>5</v>
      </c>
      <c r="F15" s="12">
        <f t="shared" si="2"/>
        <v>-218.785174999997</v>
      </c>
      <c r="G15" s="12">
        <f t="shared" si="3"/>
        <v>21</v>
      </c>
      <c r="H15" s="12">
        <f t="shared" si="4"/>
        <v>64.4362770000007</v>
      </c>
      <c r="I15" s="12">
        <f t="shared" si="5"/>
        <v>21</v>
      </c>
      <c r="J15" s="12">
        <f t="shared" si="6"/>
        <v>64.4362770000007</v>
      </c>
      <c r="K15" s="12">
        <f t="shared" si="18"/>
        <v>-89</v>
      </c>
      <c r="L15" s="12">
        <f t="shared" si="7"/>
        <v>-1395.413723</v>
      </c>
      <c r="M15" s="19">
        <f t="shared" si="8"/>
        <v>3.21100917431193</v>
      </c>
      <c r="N15" s="19">
        <f t="shared" si="9"/>
        <v>0.367339604347395</v>
      </c>
      <c r="O15" s="12">
        <f t="shared" si="10"/>
        <v>675</v>
      </c>
      <c r="P15" s="12">
        <f t="shared" si="11"/>
        <v>17605.773023</v>
      </c>
      <c r="Q15" s="12">
        <f t="shared" si="12"/>
        <v>15</v>
      </c>
      <c r="R15" s="12">
        <f t="shared" si="13"/>
        <v>-5.2522229999995</v>
      </c>
      <c r="S15" s="12">
        <f t="shared" si="14"/>
        <v>15</v>
      </c>
      <c r="T15" s="12">
        <f t="shared" si="15"/>
        <v>-5.2522229999995</v>
      </c>
      <c r="U15" s="19">
        <f t="shared" si="16"/>
        <v>2.27272727272727</v>
      </c>
      <c r="V15" s="19">
        <f t="shared" si="17"/>
        <v>-0.0298234936730469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660</v>
      </c>
      <c r="AH15" s="41">
        <v>17611.025246</v>
      </c>
      <c r="AI15" s="47">
        <v>670</v>
      </c>
      <c r="AJ15" s="47">
        <v>17824.558198</v>
      </c>
      <c r="AK15" s="47">
        <v>670</v>
      </c>
      <c r="AL15" s="47">
        <v>17824.558198</v>
      </c>
      <c r="AM15" s="41">
        <v>654</v>
      </c>
      <c r="AN15" s="41">
        <v>17541.336746</v>
      </c>
      <c r="AO15" s="41">
        <v>660</v>
      </c>
      <c r="AP15" s="49">
        <v>17611.025246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699</v>
      </c>
      <c r="D16" s="12">
        <v>22755.923486</v>
      </c>
      <c r="E16" s="12">
        <f t="shared" si="1"/>
        <v>-4</v>
      </c>
      <c r="F16" s="12">
        <f t="shared" si="2"/>
        <v>188.559022999998</v>
      </c>
      <c r="G16" s="12">
        <f t="shared" si="3"/>
        <v>-4</v>
      </c>
      <c r="H16" s="12">
        <f t="shared" si="4"/>
        <v>-144.803477000001</v>
      </c>
      <c r="I16" s="12">
        <f t="shared" si="5"/>
        <v>-4</v>
      </c>
      <c r="J16" s="12">
        <f t="shared" si="6"/>
        <v>-144.803477000001</v>
      </c>
      <c r="K16" s="12">
        <f t="shared" si="18"/>
        <v>-67</v>
      </c>
      <c r="L16" s="12">
        <f t="shared" si="7"/>
        <v>-932.763477</v>
      </c>
      <c r="M16" s="19">
        <f t="shared" si="8"/>
        <v>-0.568990042674253</v>
      </c>
      <c r="N16" s="19">
        <f t="shared" si="9"/>
        <v>-0.63230952115169</v>
      </c>
      <c r="O16" s="12">
        <f t="shared" si="10"/>
        <v>699</v>
      </c>
      <c r="P16" s="12">
        <f t="shared" si="11"/>
        <v>22755.923486</v>
      </c>
      <c r="Q16" s="12">
        <f t="shared" si="12"/>
        <v>-20</v>
      </c>
      <c r="R16" s="12">
        <f t="shared" si="13"/>
        <v>-621.354377</v>
      </c>
      <c r="S16" s="12">
        <f t="shared" si="14"/>
        <v>-20</v>
      </c>
      <c r="T16" s="12">
        <f t="shared" si="15"/>
        <v>-621.354377</v>
      </c>
      <c r="U16" s="19">
        <f t="shared" si="16"/>
        <v>-2.78164116828929</v>
      </c>
      <c r="V16" s="19">
        <f t="shared" si="17"/>
        <v>-2.65794153040991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719</v>
      </c>
      <c r="AH16" s="41">
        <v>23377.277863</v>
      </c>
      <c r="AI16" s="47">
        <v>703</v>
      </c>
      <c r="AJ16" s="47">
        <v>22567.364463</v>
      </c>
      <c r="AK16" s="47">
        <v>703</v>
      </c>
      <c r="AL16" s="47">
        <v>22567.364463</v>
      </c>
      <c r="AM16" s="41">
        <v>703</v>
      </c>
      <c r="AN16" s="41">
        <v>22900.726963</v>
      </c>
      <c r="AO16" s="41">
        <v>719</v>
      </c>
      <c r="AP16" s="49">
        <v>23377.277863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600</v>
      </c>
      <c r="D17" s="12">
        <v>18368.840877</v>
      </c>
      <c r="E17" s="12">
        <f t="shared" si="1"/>
        <v>0</v>
      </c>
      <c r="F17" s="12">
        <f t="shared" si="2"/>
        <v>-36.8000000000029</v>
      </c>
      <c r="G17" s="12">
        <f t="shared" si="3"/>
        <v>1</v>
      </c>
      <c r="H17" s="12">
        <f t="shared" si="4"/>
        <v>-61.1800000000003</v>
      </c>
      <c r="I17" s="12">
        <f t="shared" si="5"/>
        <v>1</v>
      </c>
      <c r="J17" s="12">
        <f t="shared" si="6"/>
        <v>-61.1800000000003</v>
      </c>
      <c r="K17" s="12">
        <f t="shared" si="18"/>
        <v>-7</v>
      </c>
      <c r="L17" s="12">
        <f t="shared" si="7"/>
        <v>-790.889999999999</v>
      </c>
      <c r="M17" s="19">
        <f t="shared" si="8"/>
        <v>0.1669449081803</v>
      </c>
      <c r="N17" s="19">
        <f t="shared" si="9"/>
        <v>-0.331958386853217</v>
      </c>
      <c r="O17" s="12">
        <f t="shared" si="10"/>
        <v>600</v>
      </c>
      <c r="P17" s="12">
        <f t="shared" si="11"/>
        <v>18368.840877</v>
      </c>
      <c r="Q17" s="12">
        <f t="shared" si="12"/>
        <v>-19</v>
      </c>
      <c r="R17" s="12">
        <f t="shared" si="13"/>
        <v>-1116.278</v>
      </c>
      <c r="S17" s="30">
        <f t="shared" si="14"/>
        <v>-19</v>
      </c>
      <c r="T17" s="12">
        <f t="shared" si="15"/>
        <v>-1116.278</v>
      </c>
      <c r="U17" s="19">
        <f t="shared" si="16"/>
        <v>-3.06946688206785</v>
      </c>
      <c r="V17" s="19">
        <f t="shared" si="17"/>
        <v>-5.72887446592714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619</v>
      </c>
      <c r="AH17" s="41">
        <v>19485.118877</v>
      </c>
      <c r="AI17" s="47">
        <v>600</v>
      </c>
      <c r="AJ17" s="47">
        <v>18405.640877</v>
      </c>
      <c r="AK17" s="47">
        <v>600</v>
      </c>
      <c r="AL17" s="47">
        <v>18405.640877</v>
      </c>
      <c r="AM17" s="41">
        <v>599</v>
      </c>
      <c r="AN17" s="41">
        <v>18430.020877</v>
      </c>
      <c r="AO17" s="41">
        <v>619</v>
      </c>
      <c r="AP17" s="49">
        <v>19485.118877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478</v>
      </c>
      <c r="D18" s="12">
        <v>18925.724584</v>
      </c>
      <c r="E18" s="12">
        <f t="shared" si="1"/>
        <v>-3</v>
      </c>
      <c r="F18" s="12">
        <f t="shared" si="2"/>
        <v>-265.038816</v>
      </c>
      <c r="G18" s="12">
        <f t="shared" si="3"/>
        <v>-4</v>
      </c>
      <c r="H18" s="12">
        <f t="shared" si="4"/>
        <v>-631.738816000001</v>
      </c>
      <c r="I18" s="12">
        <f t="shared" si="5"/>
        <v>-4</v>
      </c>
      <c r="J18" s="12">
        <f t="shared" si="6"/>
        <v>-631.738816000001</v>
      </c>
      <c r="K18" s="12">
        <f t="shared" si="18"/>
        <v>-15</v>
      </c>
      <c r="L18" s="12">
        <f t="shared" si="7"/>
        <v>-1943.208816</v>
      </c>
      <c r="M18" s="19">
        <f t="shared" si="8"/>
        <v>-0.829875518672199</v>
      </c>
      <c r="N18" s="19">
        <f t="shared" si="9"/>
        <v>-3.23016744594803</v>
      </c>
      <c r="O18" s="12">
        <f t="shared" si="10"/>
        <v>478</v>
      </c>
      <c r="P18" s="12">
        <f t="shared" si="11"/>
        <v>18925.724584</v>
      </c>
      <c r="Q18" s="12">
        <f t="shared" si="12"/>
        <v>-8</v>
      </c>
      <c r="R18" s="12">
        <f t="shared" si="13"/>
        <v>-722.236715999999</v>
      </c>
      <c r="S18" s="12">
        <f t="shared" si="14"/>
        <v>-8</v>
      </c>
      <c r="T18" s="12">
        <f t="shared" si="15"/>
        <v>-722.236715999999</v>
      </c>
      <c r="U18" s="19">
        <f t="shared" si="16"/>
        <v>-1.64609053497942</v>
      </c>
      <c r="V18" s="19">
        <f t="shared" si="17"/>
        <v>-3.67588629157163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486</v>
      </c>
      <c r="AH18" s="41">
        <v>19647.9613</v>
      </c>
      <c r="AI18" s="47">
        <v>481</v>
      </c>
      <c r="AJ18" s="47">
        <v>19190.7634</v>
      </c>
      <c r="AK18" s="47">
        <v>481</v>
      </c>
      <c r="AL18" s="47">
        <v>19190.7634</v>
      </c>
      <c r="AM18" s="41">
        <v>482</v>
      </c>
      <c r="AN18" s="41">
        <v>19557.4634</v>
      </c>
      <c r="AO18" s="41">
        <v>486</v>
      </c>
      <c r="AP18" s="49">
        <v>19647.9613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432</v>
      </c>
      <c r="D19" s="12">
        <v>14945.246372</v>
      </c>
      <c r="E19" s="12">
        <f t="shared" si="1"/>
        <v>1</v>
      </c>
      <c r="F19" s="12">
        <f t="shared" si="2"/>
        <v>316</v>
      </c>
      <c r="G19" s="12">
        <f t="shared" si="3"/>
        <v>0</v>
      </c>
      <c r="H19" s="12">
        <f t="shared" si="4"/>
        <v>314.9</v>
      </c>
      <c r="I19" s="12">
        <f t="shared" si="5"/>
        <v>0</v>
      </c>
      <c r="J19" s="12">
        <f t="shared" si="6"/>
        <v>314.9</v>
      </c>
      <c r="K19" s="12">
        <f t="shared" si="18"/>
        <v>-32</v>
      </c>
      <c r="L19" s="12">
        <f t="shared" si="7"/>
        <v>-488.08</v>
      </c>
      <c r="M19" s="19">
        <f t="shared" si="8"/>
        <v>0</v>
      </c>
      <c r="N19" s="19">
        <f t="shared" si="9"/>
        <v>2.15237556236307</v>
      </c>
      <c r="O19" s="12">
        <f t="shared" si="10"/>
        <v>432</v>
      </c>
      <c r="P19" s="12">
        <f t="shared" si="11"/>
        <v>14945.246372</v>
      </c>
      <c r="Q19" s="12">
        <f t="shared" si="12"/>
        <v>-8</v>
      </c>
      <c r="R19" s="12">
        <f t="shared" si="13"/>
        <v>244.1505</v>
      </c>
      <c r="S19" s="12">
        <f t="shared" si="14"/>
        <v>-8</v>
      </c>
      <c r="T19" s="12">
        <f t="shared" si="15"/>
        <v>244.1505</v>
      </c>
      <c r="U19" s="19">
        <f t="shared" si="16"/>
        <v>-1.81818181818182</v>
      </c>
      <c r="V19" s="19">
        <f t="shared" si="17"/>
        <v>1.66076394661852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440</v>
      </c>
      <c r="AH19" s="41">
        <v>14701.095872</v>
      </c>
      <c r="AI19" s="47">
        <v>431</v>
      </c>
      <c r="AJ19" s="47">
        <v>14629.246372</v>
      </c>
      <c r="AK19" s="47">
        <v>431</v>
      </c>
      <c r="AL19" s="47">
        <v>14629.246372</v>
      </c>
      <c r="AM19" s="41">
        <v>432</v>
      </c>
      <c r="AN19" s="41">
        <v>14630.346372</v>
      </c>
      <c r="AO19" s="41">
        <v>440</v>
      </c>
      <c r="AP19" s="49">
        <v>14701.095872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611</v>
      </c>
      <c r="D20" s="12">
        <v>18552.197604</v>
      </c>
      <c r="E20" s="12">
        <f t="shared" si="1"/>
        <v>1</v>
      </c>
      <c r="F20" s="12">
        <f t="shared" si="2"/>
        <v>228</v>
      </c>
      <c r="G20" s="12">
        <f t="shared" si="3"/>
        <v>0</v>
      </c>
      <c r="H20" s="12">
        <f t="shared" si="4"/>
        <v>533.48</v>
      </c>
      <c r="I20" s="12">
        <f t="shared" si="5"/>
        <v>0</v>
      </c>
      <c r="J20" s="12">
        <f t="shared" si="6"/>
        <v>533.48</v>
      </c>
      <c r="K20" s="12">
        <f t="shared" si="18"/>
        <v>-81</v>
      </c>
      <c r="L20" s="12">
        <f t="shared" si="7"/>
        <v>-1683.17</v>
      </c>
      <c r="M20" s="19">
        <f t="shared" si="8"/>
        <v>0</v>
      </c>
      <c r="N20" s="19">
        <f t="shared" si="9"/>
        <v>2.96069904487305</v>
      </c>
      <c r="O20" s="12">
        <f t="shared" si="10"/>
        <v>611</v>
      </c>
      <c r="P20" s="12">
        <f t="shared" si="11"/>
        <v>18552.197604</v>
      </c>
      <c r="Q20" s="12">
        <f t="shared" si="12"/>
        <v>-6</v>
      </c>
      <c r="R20" s="12">
        <f t="shared" si="13"/>
        <v>166.984899999999</v>
      </c>
      <c r="S20" s="12">
        <f t="shared" si="14"/>
        <v>-6</v>
      </c>
      <c r="T20" s="12">
        <f t="shared" si="15"/>
        <v>166.984899999999</v>
      </c>
      <c r="U20" s="19">
        <f t="shared" si="16"/>
        <v>-0.972447325769854</v>
      </c>
      <c r="V20" s="19">
        <f t="shared" si="17"/>
        <v>0.90825655753044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617</v>
      </c>
      <c r="AH20" s="41">
        <v>18385.212704</v>
      </c>
      <c r="AI20" s="47">
        <v>610</v>
      </c>
      <c r="AJ20" s="47">
        <v>18324.197604</v>
      </c>
      <c r="AK20" s="47">
        <v>610</v>
      </c>
      <c r="AL20" s="47">
        <v>18324.197604</v>
      </c>
      <c r="AM20" s="41">
        <v>611</v>
      </c>
      <c r="AN20" s="41">
        <v>18018.717604</v>
      </c>
      <c r="AO20" s="41">
        <v>617</v>
      </c>
      <c r="AP20" s="49">
        <v>18385.212704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432</v>
      </c>
      <c r="D21" s="12">
        <v>14790.264273</v>
      </c>
      <c r="E21" s="12">
        <f t="shared" si="1"/>
        <v>-1</v>
      </c>
      <c r="F21" s="12">
        <f t="shared" si="2"/>
        <v>0.5</v>
      </c>
      <c r="G21" s="12">
        <f t="shared" si="3"/>
        <v>-6</v>
      </c>
      <c r="H21" s="12">
        <f t="shared" si="4"/>
        <v>-634.199999999999</v>
      </c>
      <c r="I21" s="12">
        <f t="shared" si="5"/>
        <v>-6</v>
      </c>
      <c r="J21" s="12">
        <f t="shared" si="6"/>
        <v>-634.199999999999</v>
      </c>
      <c r="K21" s="12">
        <f t="shared" si="18"/>
        <v>-63</v>
      </c>
      <c r="L21" s="12">
        <f t="shared" si="7"/>
        <v>-1644.1</v>
      </c>
      <c r="M21" s="19">
        <f t="shared" si="8"/>
        <v>-1.36986301369863</v>
      </c>
      <c r="N21" s="19">
        <f t="shared" si="9"/>
        <v>-4.11165009542759</v>
      </c>
      <c r="O21" s="12">
        <f t="shared" si="10"/>
        <v>432</v>
      </c>
      <c r="P21" s="12">
        <f t="shared" si="11"/>
        <v>14790.264273</v>
      </c>
      <c r="Q21" s="12">
        <f t="shared" si="12"/>
        <v>-12</v>
      </c>
      <c r="R21" s="12">
        <f t="shared" si="13"/>
        <v>-988.947748999999</v>
      </c>
      <c r="S21" s="30">
        <f t="shared" si="14"/>
        <v>-12</v>
      </c>
      <c r="T21" s="12">
        <f t="shared" si="15"/>
        <v>-988.947748999999</v>
      </c>
      <c r="U21" s="19">
        <f t="shared" si="16"/>
        <v>-2.7027027027027</v>
      </c>
      <c r="V21" s="19">
        <f t="shared" si="17"/>
        <v>-6.26740896580367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444</v>
      </c>
      <c r="AH21" s="41">
        <v>15779.212022</v>
      </c>
      <c r="AI21" s="47">
        <v>433</v>
      </c>
      <c r="AJ21" s="47">
        <v>14789.764273</v>
      </c>
      <c r="AK21" s="47">
        <v>433</v>
      </c>
      <c r="AL21" s="47">
        <v>14789.764273</v>
      </c>
      <c r="AM21" s="41">
        <v>438</v>
      </c>
      <c r="AN21" s="41">
        <v>15424.464273</v>
      </c>
      <c r="AO21" s="41">
        <v>444</v>
      </c>
      <c r="AP21" s="49">
        <v>15779.212022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677</v>
      </c>
      <c r="D22" s="12">
        <v>24126.568968</v>
      </c>
      <c r="E22" s="12">
        <f t="shared" si="1"/>
        <v>0</v>
      </c>
      <c r="F22" s="12">
        <f t="shared" si="2"/>
        <v>36</v>
      </c>
      <c r="G22" s="12">
        <f t="shared" si="3"/>
        <v>3</v>
      </c>
      <c r="H22" s="12">
        <f t="shared" si="4"/>
        <v>782</v>
      </c>
      <c r="I22" s="12">
        <f t="shared" si="5"/>
        <v>3</v>
      </c>
      <c r="J22" s="12">
        <f t="shared" si="6"/>
        <v>782</v>
      </c>
      <c r="K22" s="12">
        <f t="shared" si="18"/>
        <v>-59</v>
      </c>
      <c r="L22" s="12">
        <f t="shared" si="7"/>
        <v>-496.92</v>
      </c>
      <c r="M22" s="19">
        <f t="shared" si="8"/>
        <v>0.445103857566766</v>
      </c>
      <c r="N22" s="19">
        <f t="shared" si="9"/>
        <v>3.34981554412909</v>
      </c>
      <c r="O22" s="12">
        <f t="shared" si="10"/>
        <v>677</v>
      </c>
      <c r="P22" s="12">
        <f t="shared" si="11"/>
        <v>24126.568968</v>
      </c>
      <c r="Q22" s="12">
        <f t="shared" si="12"/>
        <v>-9</v>
      </c>
      <c r="R22" s="12">
        <f t="shared" si="13"/>
        <v>560.741900000001</v>
      </c>
      <c r="S22" s="12">
        <f t="shared" si="14"/>
        <v>-9</v>
      </c>
      <c r="T22" s="12">
        <f t="shared" si="15"/>
        <v>560.741900000001</v>
      </c>
      <c r="U22" s="19">
        <f t="shared" si="16"/>
        <v>-1.31195335276968</v>
      </c>
      <c r="V22" s="19">
        <f t="shared" si="17"/>
        <v>2.37947048657346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686</v>
      </c>
      <c r="AH22" s="41">
        <v>23565.827068</v>
      </c>
      <c r="AI22" s="47">
        <v>677</v>
      </c>
      <c r="AJ22" s="47">
        <v>24090.568968</v>
      </c>
      <c r="AK22" s="47">
        <v>677</v>
      </c>
      <c r="AL22" s="47">
        <v>24090.568968</v>
      </c>
      <c r="AM22" s="41">
        <v>674</v>
      </c>
      <c r="AN22" s="41">
        <v>23344.568968</v>
      </c>
      <c r="AO22" s="41">
        <v>686</v>
      </c>
      <c r="AP22" s="49">
        <v>23565.827068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697</v>
      </c>
      <c r="D23" s="12">
        <v>25685.388586</v>
      </c>
      <c r="E23" s="12">
        <f t="shared" si="1"/>
        <v>0</v>
      </c>
      <c r="F23" s="12">
        <f t="shared" si="2"/>
        <v>-225.200000000001</v>
      </c>
      <c r="G23" s="12">
        <f t="shared" si="3"/>
        <v>-3</v>
      </c>
      <c r="H23" s="12">
        <f t="shared" si="4"/>
        <v>-334.799999999999</v>
      </c>
      <c r="I23" s="12">
        <f t="shared" si="5"/>
        <v>-3</v>
      </c>
      <c r="J23" s="12">
        <f t="shared" si="6"/>
        <v>-334.799999999999</v>
      </c>
      <c r="K23" s="12">
        <f t="shared" si="18"/>
        <v>-45</v>
      </c>
      <c r="L23" s="12">
        <f t="shared" si="7"/>
        <v>-863.209999999999</v>
      </c>
      <c r="M23" s="19">
        <f t="shared" si="8"/>
        <v>-0.428571428571429</v>
      </c>
      <c r="N23" s="19">
        <f t="shared" si="9"/>
        <v>-1.28669321090215</v>
      </c>
      <c r="O23" s="12">
        <f t="shared" si="10"/>
        <v>697</v>
      </c>
      <c r="P23" s="12">
        <f t="shared" si="11"/>
        <v>25685.388586</v>
      </c>
      <c r="Q23" s="12">
        <f t="shared" si="12"/>
        <v>-26</v>
      </c>
      <c r="R23" s="12">
        <f t="shared" si="13"/>
        <v>-1540.2797</v>
      </c>
      <c r="S23" s="12">
        <f t="shared" si="14"/>
        <v>-26</v>
      </c>
      <c r="T23" s="12">
        <f t="shared" si="15"/>
        <v>-1540.2797</v>
      </c>
      <c r="U23" s="19">
        <f t="shared" si="16"/>
        <v>-3.59612724757953</v>
      </c>
      <c r="V23" s="19">
        <f t="shared" si="17"/>
        <v>-5.65745414885571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723</v>
      </c>
      <c r="AH23" s="41">
        <v>27225.668286</v>
      </c>
      <c r="AI23" s="47">
        <v>697</v>
      </c>
      <c r="AJ23" s="47">
        <v>25910.588586</v>
      </c>
      <c r="AK23" s="47">
        <v>697</v>
      </c>
      <c r="AL23" s="47">
        <v>25910.588586</v>
      </c>
      <c r="AM23" s="41">
        <v>700</v>
      </c>
      <c r="AN23" s="41">
        <v>26020.188586</v>
      </c>
      <c r="AO23" s="41">
        <v>723</v>
      </c>
      <c r="AP23" s="49">
        <v>27225.668286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479</v>
      </c>
      <c r="D24" s="12">
        <v>15399.52</v>
      </c>
      <c r="E24" s="12">
        <f t="shared" si="1"/>
        <v>3</v>
      </c>
      <c r="F24" s="12">
        <f t="shared" si="2"/>
        <v>157.02</v>
      </c>
      <c r="G24" s="12">
        <f t="shared" si="3"/>
        <v>8</v>
      </c>
      <c r="H24" s="12">
        <f t="shared" si="4"/>
        <v>811.120000000001</v>
      </c>
      <c r="I24" s="12">
        <f t="shared" si="5"/>
        <v>8</v>
      </c>
      <c r="J24" s="12">
        <f t="shared" si="6"/>
        <v>811.120000000001</v>
      </c>
      <c r="K24" s="12">
        <f t="shared" si="18"/>
        <v>-43</v>
      </c>
      <c r="L24" s="12">
        <f t="shared" si="7"/>
        <v>-6.86999999999921</v>
      </c>
      <c r="M24" s="19">
        <f t="shared" si="8"/>
        <v>1.69851380042463</v>
      </c>
      <c r="N24" s="19">
        <f t="shared" si="9"/>
        <v>5.56003399961614</v>
      </c>
      <c r="O24" s="12">
        <f t="shared" si="10"/>
        <v>479</v>
      </c>
      <c r="P24" s="12">
        <f t="shared" si="11"/>
        <v>15399.52</v>
      </c>
      <c r="Q24" s="12">
        <f t="shared" si="12"/>
        <v>-3</v>
      </c>
      <c r="R24" s="12">
        <f t="shared" si="13"/>
        <v>203.288200000001</v>
      </c>
      <c r="S24" s="30">
        <f t="shared" si="14"/>
        <v>-3</v>
      </c>
      <c r="T24" s="12">
        <f t="shared" si="15"/>
        <v>203.288200000001</v>
      </c>
      <c r="U24" s="19">
        <f t="shared" si="16"/>
        <v>-0.622406639004149</v>
      </c>
      <c r="V24" s="19">
        <f t="shared" si="17"/>
        <v>1.33775400820091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482</v>
      </c>
      <c r="AH24" s="41">
        <v>15196.2318</v>
      </c>
      <c r="AI24" s="47">
        <v>476</v>
      </c>
      <c r="AJ24" s="47">
        <v>15242.5</v>
      </c>
      <c r="AK24" s="47">
        <v>476</v>
      </c>
      <c r="AL24" s="47">
        <v>15242.5</v>
      </c>
      <c r="AM24" s="41">
        <v>471</v>
      </c>
      <c r="AN24" s="41">
        <v>14588.4</v>
      </c>
      <c r="AO24" s="41">
        <v>482</v>
      </c>
      <c r="AP24" s="49">
        <v>15196.2318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480</v>
      </c>
      <c r="D25" s="12">
        <v>15690.573016</v>
      </c>
      <c r="E25" s="12">
        <f t="shared" si="1"/>
        <v>-2</v>
      </c>
      <c r="F25" s="12">
        <f t="shared" si="2"/>
        <v>-188</v>
      </c>
      <c r="G25" s="12">
        <f t="shared" si="3"/>
        <v>-2</v>
      </c>
      <c r="H25" s="12">
        <f t="shared" si="4"/>
        <v>-436.304</v>
      </c>
      <c r="I25" s="12">
        <f t="shared" si="5"/>
        <v>-2</v>
      </c>
      <c r="J25" s="12">
        <f t="shared" si="6"/>
        <v>-436.304</v>
      </c>
      <c r="K25" s="12">
        <f t="shared" si="18"/>
        <v>-27</v>
      </c>
      <c r="L25" s="12">
        <f t="shared" si="7"/>
        <v>-1317.484</v>
      </c>
      <c r="M25" s="19">
        <f t="shared" si="8"/>
        <v>-0.4149377593361</v>
      </c>
      <c r="N25" s="19">
        <f t="shared" si="9"/>
        <v>-2.70544631528552</v>
      </c>
      <c r="O25" s="12">
        <f t="shared" si="10"/>
        <v>480</v>
      </c>
      <c r="P25" s="12">
        <f t="shared" si="11"/>
        <v>15690.573016</v>
      </c>
      <c r="Q25" s="12">
        <f t="shared" si="12"/>
        <v>-22</v>
      </c>
      <c r="R25" s="12">
        <f t="shared" si="13"/>
        <v>-1202.6296</v>
      </c>
      <c r="S25" s="12">
        <f t="shared" si="14"/>
        <v>-22</v>
      </c>
      <c r="T25" s="12">
        <f t="shared" si="15"/>
        <v>-1202.6296</v>
      </c>
      <c r="U25" s="19">
        <f t="shared" si="16"/>
        <v>-4.38247011952191</v>
      </c>
      <c r="V25" s="19">
        <f t="shared" si="17"/>
        <v>-7.11901483298943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502</v>
      </c>
      <c r="AH25" s="41">
        <v>16893.202616</v>
      </c>
      <c r="AI25" s="47">
        <v>482</v>
      </c>
      <c r="AJ25" s="47">
        <v>15878.573016</v>
      </c>
      <c r="AK25" s="47">
        <v>482</v>
      </c>
      <c r="AL25" s="47">
        <v>15878.573016</v>
      </c>
      <c r="AM25" s="41">
        <v>482</v>
      </c>
      <c r="AN25" s="41">
        <v>16126.877016</v>
      </c>
      <c r="AO25" s="41">
        <v>502</v>
      </c>
      <c r="AP25" s="49">
        <v>16893.202616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273</v>
      </c>
      <c r="D26" s="12">
        <v>10559.931027</v>
      </c>
      <c r="E26" s="12">
        <f t="shared" si="1"/>
        <v>-2</v>
      </c>
      <c r="F26" s="12">
        <f t="shared" si="2"/>
        <v>-76.7045280000002</v>
      </c>
      <c r="G26" s="12">
        <f t="shared" si="3"/>
        <v>-4</v>
      </c>
      <c r="H26" s="12">
        <f t="shared" si="4"/>
        <v>-262.494527999999</v>
      </c>
      <c r="I26" s="12">
        <f t="shared" si="5"/>
        <v>-4</v>
      </c>
      <c r="J26" s="12">
        <f t="shared" si="6"/>
        <v>-262.494527999999</v>
      </c>
      <c r="K26" s="12">
        <f t="shared" si="18"/>
        <v>-24</v>
      </c>
      <c r="L26" s="12">
        <f t="shared" si="7"/>
        <v>-966.504527999999</v>
      </c>
      <c r="M26" s="19">
        <f t="shared" si="8"/>
        <v>-1.44404332129964</v>
      </c>
      <c r="N26" s="19">
        <f t="shared" si="9"/>
        <v>-2.4254685483027</v>
      </c>
      <c r="O26" s="12">
        <f t="shared" si="10"/>
        <v>273</v>
      </c>
      <c r="P26" s="12">
        <f t="shared" si="11"/>
        <v>10559.931027</v>
      </c>
      <c r="Q26" s="12">
        <f t="shared" si="12"/>
        <v>-9</v>
      </c>
      <c r="R26" s="12">
        <f t="shared" si="13"/>
        <v>-313.169486999999</v>
      </c>
      <c r="S26" s="12">
        <f t="shared" si="14"/>
        <v>-9</v>
      </c>
      <c r="T26" s="12">
        <f t="shared" si="15"/>
        <v>-313.169486999999</v>
      </c>
      <c r="U26" s="19">
        <f t="shared" si="16"/>
        <v>-3.19148936170213</v>
      </c>
      <c r="V26" s="19">
        <f t="shared" si="17"/>
        <v>-2.88022249584438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282</v>
      </c>
      <c r="AH26" s="41">
        <v>10873.100514</v>
      </c>
      <c r="AI26" s="47">
        <v>275</v>
      </c>
      <c r="AJ26" s="47">
        <v>10636.635555</v>
      </c>
      <c r="AK26" s="47">
        <v>275</v>
      </c>
      <c r="AL26" s="47">
        <v>10636.635555</v>
      </c>
      <c r="AM26" s="41">
        <v>277</v>
      </c>
      <c r="AN26" s="41">
        <v>10822.425555</v>
      </c>
      <c r="AO26" s="41">
        <v>282</v>
      </c>
      <c r="AP26" s="49">
        <v>10873.100514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327</v>
      </c>
      <c r="D27" s="12">
        <v>11341.26496</v>
      </c>
      <c r="E27" s="12">
        <f t="shared" si="1"/>
        <v>-1</v>
      </c>
      <c r="F27" s="12">
        <f t="shared" si="2"/>
        <v>-75.3999999999996</v>
      </c>
      <c r="G27" s="12">
        <f t="shared" si="3"/>
        <v>-1</v>
      </c>
      <c r="H27" s="12">
        <f t="shared" si="4"/>
        <v>-77.1999999999989</v>
      </c>
      <c r="I27" s="12">
        <f t="shared" si="5"/>
        <v>-1</v>
      </c>
      <c r="J27" s="12">
        <f t="shared" si="6"/>
        <v>-77.1999999999989</v>
      </c>
      <c r="K27" s="12">
        <f t="shared" si="18"/>
        <v>-33</v>
      </c>
      <c r="L27" s="12">
        <f t="shared" si="7"/>
        <v>-701.469999999999</v>
      </c>
      <c r="M27" s="19">
        <f t="shared" si="8"/>
        <v>-0.304878048780488</v>
      </c>
      <c r="N27" s="19">
        <f t="shared" si="9"/>
        <v>-0.676097884176534</v>
      </c>
      <c r="O27" s="12">
        <f t="shared" si="10"/>
        <v>327</v>
      </c>
      <c r="P27" s="12">
        <f t="shared" si="11"/>
        <v>11341.26496</v>
      </c>
      <c r="Q27" s="12">
        <f t="shared" si="12"/>
        <v>-12</v>
      </c>
      <c r="R27" s="12">
        <f t="shared" si="13"/>
        <v>-1445.45</v>
      </c>
      <c r="S27" s="12">
        <f t="shared" si="14"/>
        <v>-12</v>
      </c>
      <c r="T27" s="12">
        <f t="shared" si="15"/>
        <v>-1445.45</v>
      </c>
      <c r="U27" s="19">
        <f t="shared" si="16"/>
        <v>-3.53982300884956</v>
      </c>
      <c r="V27" s="19">
        <f t="shared" si="17"/>
        <v>-11.3043107985258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339</v>
      </c>
      <c r="AH27" s="41">
        <v>12786.71496</v>
      </c>
      <c r="AI27" s="47">
        <v>328</v>
      </c>
      <c r="AJ27" s="47">
        <v>11416.66496</v>
      </c>
      <c r="AK27" s="47">
        <v>328</v>
      </c>
      <c r="AL27" s="47">
        <v>11416.66496</v>
      </c>
      <c r="AM27" s="41">
        <v>328</v>
      </c>
      <c r="AN27" s="41">
        <v>11418.46496</v>
      </c>
      <c r="AO27" s="41">
        <v>339</v>
      </c>
      <c r="AP27" s="49">
        <v>12786.71496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359</v>
      </c>
      <c r="D28" s="12">
        <v>19763.099996</v>
      </c>
      <c r="E28" s="12">
        <f t="shared" si="1"/>
        <v>0</v>
      </c>
      <c r="F28" s="12">
        <f t="shared" si="2"/>
        <v>-23.1110439999975</v>
      </c>
      <c r="G28" s="12">
        <f t="shared" si="3"/>
        <v>-3</v>
      </c>
      <c r="H28" s="12">
        <f t="shared" si="4"/>
        <v>-288.711044</v>
      </c>
      <c r="I28" s="12">
        <f t="shared" si="5"/>
        <v>-3</v>
      </c>
      <c r="J28" s="12">
        <f t="shared" si="6"/>
        <v>-288.711044</v>
      </c>
      <c r="K28" s="12">
        <f t="shared" si="18"/>
        <v>-43</v>
      </c>
      <c r="L28" s="12">
        <f t="shared" si="7"/>
        <v>-1169.441044</v>
      </c>
      <c r="M28" s="19">
        <f t="shared" si="8"/>
        <v>-0.828729281767956</v>
      </c>
      <c r="N28" s="19">
        <f t="shared" si="9"/>
        <v>-1.43982527774708</v>
      </c>
      <c r="O28" s="12">
        <f t="shared" si="10"/>
        <v>359</v>
      </c>
      <c r="P28" s="12">
        <f t="shared" si="11"/>
        <v>19763.099996</v>
      </c>
      <c r="Q28" s="12">
        <f t="shared" si="12"/>
        <v>-8</v>
      </c>
      <c r="R28" s="12">
        <f t="shared" si="13"/>
        <v>-1255.600987</v>
      </c>
      <c r="S28" s="12">
        <f t="shared" si="14"/>
        <v>-8</v>
      </c>
      <c r="T28" s="12">
        <f t="shared" si="15"/>
        <v>-1255.600987</v>
      </c>
      <c r="U28" s="19">
        <f t="shared" si="16"/>
        <v>-2.17983651226158</v>
      </c>
      <c r="V28" s="19">
        <f t="shared" si="17"/>
        <v>-5.97373257279569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367</v>
      </c>
      <c r="AH28" s="41">
        <v>21018.700983</v>
      </c>
      <c r="AI28" s="47">
        <v>359</v>
      </c>
      <c r="AJ28" s="47">
        <v>19786.21104</v>
      </c>
      <c r="AK28" s="47">
        <v>359</v>
      </c>
      <c r="AL28" s="47">
        <v>19786.21104</v>
      </c>
      <c r="AM28" s="41">
        <v>362</v>
      </c>
      <c r="AN28" s="41">
        <v>20051.81104</v>
      </c>
      <c r="AO28" s="41">
        <v>367</v>
      </c>
      <c r="AP28" s="49">
        <v>21018.700983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324</v>
      </c>
      <c r="D29" s="12">
        <v>11883.008315</v>
      </c>
      <c r="E29" s="12">
        <f t="shared" si="1"/>
        <v>-3</v>
      </c>
      <c r="F29" s="12">
        <f t="shared" si="2"/>
        <v>-42.9642930000009</v>
      </c>
      <c r="G29" s="12">
        <f t="shared" si="3"/>
        <v>-4</v>
      </c>
      <c r="H29" s="12">
        <f t="shared" si="4"/>
        <v>-111.654293000001</v>
      </c>
      <c r="I29" s="12">
        <f t="shared" si="5"/>
        <v>-4</v>
      </c>
      <c r="J29" s="12">
        <f t="shared" si="6"/>
        <v>-111.654293000001</v>
      </c>
      <c r="K29" s="12">
        <f t="shared" si="18"/>
        <v>-39</v>
      </c>
      <c r="L29" s="12">
        <f t="shared" si="7"/>
        <v>-659.364293000002</v>
      </c>
      <c r="M29" s="19">
        <f t="shared" si="8"/>
        <v>-1.21951219512195</v>
      </c>
      <c r="N29" s="19">
        <f t="shared" si="9"/>
        <v>-0.930866474939713</v>
      </c>
      <c r="O29" s="12">
        <f t="shared" si="10"/>
        <v>324</v>
      </c>
      <c r="P29" s="12">
        <f t="shared" si="11"/>
        <v>11883.008315</v>
      </c>
      <c r="Q29" s="12">
        <f t="shared" si="12"/>
        <v>-5</v>
      </c>
      <c r="R29" s="12">
        <f t="shared" si="13"/>
        <v>-136.654293000001</v>
      </c>
      <c r="S29" s="12">
        <f t="shared" si="14"/>
        <v>-5</v>
      </c>
      <c r="T29" s="12">
        <f t="shared" si="15"/>
        <v>-136.654293000001</v>
      </c>
      <c r="U29" s="19">
        <f t="shared" si="16"/>
        <v>-1.51975683890578</v>
      </c>
      <c r="V29" s="19">
        <f t="shared" si="17"/>
        <v>-1.13692286927461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329</v>
      </c>
      <c r="AH29" s="41">
        <v>12019.662608</v>
      </c>
      <c r="AI29" s="47">
        <v>327</v>
      </c>
      <c r="AJ29" s="47">
        <v>11925.972608</v>
      </c>
      <c r="AK29" s="47">
        <v>327</v>
      </c>
      <c r="AL29" s="47">
        <v>11925.972608</v>
      </c>
      <c r="AM29" s="41">
        <v>328</v>
      </c>
      <c r="AN29" s="41">
        <v>11994.662608</v>
      </c>
      <c r="AO29" s="41">
        <v>329</v>
      </c>
      <c r="AP29" s="49">
        <v>12019.662608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327</v>
      </c>
      <c r="D30" s="12">
        <v>9081.27815</v>
      </c>
      <c r="E30" s="12">
        <f t="shared" si="1"/>
        <v>5</v>
      </c>
      <c r="F30" s="12">
        <f t="shared" si="2"/>
        <v>-17.9599999999991</v>
      </c>
      <c r="G30" s="12">
        <f t="shared" si="3"/>
        <v>4</v>
      </c>
      <c r="H30" s="12">
        <f t="shared" si="4"/>
        <v>-37.9599999999991</v>
      </c>
      <c r="I30" s="12">
        <f t="shared" si="5"/>
        <v>4</v>
      </c>
      <c r="J30" s="12">
        <f t="shared" si="6"/>
        <v>-37.9599999999991</v>
      </c>
      <c r="K30" s="12">
        <f t="shared" si="18"/>
        <v>-91</v>
      </c>
      <c r="L30" s="12">
        <f t="shared" si="7"/>
        <v>-1058.1</v>
      </c>
      <c r="M30" s="19">
        <f t="shared" si="8"/>
        <v>1.23839009287926</v>
      </c>
      <c r="N30" s="19">
        <f t="shared" si="9"/>
        <v>-0.416262843184977</v>
      </c>
      <c r="O30" s="12">
        <f t="shared" si="10"/>
        <v>327</v>
      </c>
      <c r="P30" s="12">
        <f t="shared" si="11"/>
        <v>9081.27815</v>
      </c>
      <c r="Q30" s="12">
        <f t="shared" si="12"/>
        <v>-1</v>
      </c>
      <c r="R30" s="12">
        <f t="shared" si="13"/>
        <v>-85.2899999999991</v>
      </c>
      <c r="S30" s="12">
        <f t="shared" si="14"/>
        <v>-1</v>
      </c>
      <c r="T30" s="12">
        <f t="shared" si="15"/>
        <v>-85.2899999999991</v>
      </c>
      <c r="U30" s="19">
        <f t="shared" si="16"/>
        <v>-0.304878048780488</v>
      </c>
      <c r="V30" s="19">
        <f t="shared" si="17"/>
        <v>-0.930446363397179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328</v>
      </c>
      <c r="AH30" s="41">
        <v>9166.56815</v>
      </c>
      <c r="AI30" s="47">
        <v>322</v>
      </c>
      <c r="AJ30" s="47">
        <v>9099.23815</v>
      </c>
      <c r="AK30" s="47">
        <v>322</v>
      </c>
      <c r="AL30" s="47">
        <v>9099.23815</v>
      </c>
      <c r="AM30" s="41">
        <v>323</v>
      </c>
      <c r="AN30" s="41">
        <v>9119.23815</v>
      </c>
      <c r="AO30" s="41">
        <v>328</v>
      </c>
      <c r="AP30" s="49">
        <v>9166.56815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362</v>
      </c>
      <c r="D31" s="12">
        <v>10931.809735</v>
      </c>
      <c r="E31" s="12">
        <f t="shared" si="1"/>
        <v>-3</v>
      </c>
      <c r="F31" s="12">
        <f t="shared" si="2"/>
        <v>1.30000000000109</v>
      </c>
      <c r="G31" s="12">
        <f t="shared" si="3"/>
        <v>-3</v>
      </c>
      <c r="H31" s="12">
        <f t="shared" si="4"/>
        <v>-149.699999999999</v>
      </c>
      <c r="I31" s="12">
        <f t="shared" si="5"/>
        <v>-3</v>
      </c>
      <c r="J31" s="12">
        <f t="shared" si="6"/>
        <v>-149.699999999999</v>
      </c>
      <c r="K31" s="12">
        <f t="shared" si="18"/>
        <v>-51</v>
      </c>
      <c r="L31" s="12">
        <f t="shared" si="7"/>
        <v>-659.67</v>
      </c>
      <c r="M31" s="19">
        <f t="shared" si="8"/>
        <v>-0.821917808219178</v>
      </c>
      <c r="N31" s="19">
        <f t="shared" si="9"/>
        <v>-1.35089896214398</v>
      </c>
      <c r="O31" s="12">
        <f t="shared" si="10"/>
        <v>362</v>
      </c>
      <c r="P31" s="12">
        <f t="shared" si="11"/>
        <v>10931.809735</v>
      </c>
      <c r="Q31" s="12">
        <f t="shared" si="12"/>
        <v>-6</v>
      </c>
      <c r="R31" s="12">
        <f t="shared" si="13"/>
        <v>-322.0193</v>
      </c>
      <c r="S31" s="12">
        <f t="shared" si="14"/>
        <v>-6</v>
      </c>
      <c r="T31" s="12">
        <f t="shared" si="15"/>
        <v>-322.0193</v>
      </c>
      <c r="U31" s="19">
        <f t="shared" si="16"/>
        <v>-1.6304347826087</v>
      </c>
      <c r="V31" s="19">
        <f t="shared" si="17"/>
        <v>-2.86141986872648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368</v>
      </c>
      <c r="AH31" s="41">
        <v>11253.829035</v>
      </c>
      <c r="AI31" s="47">
        <v>365</v>
      </c>
      <c r="AJ31" s="47">
        <v>10930.509735</v>
      </c>
      <c r="AK31" s="47">
        <v>365</v>
      </c>
      <c r="AL31" s="47">
        <v>10930.509735</v>
      </c>
      <c r="AM31" s="41">
        <v>365</v>
      </c>
      <c r="AN31" s="41">
        <v>11081.509735</v>
      </c>
      <c r="AO31" s="41">
        <v>368</v>
      </c>
      <c r="AP31" s="49">
        <v>11253.829035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500</v>
      </c>
      <c r="D32" s="12">
        <v>12439.346585</v>
      </c>
      <c r="E32" s="12">
        <f t="shared" si="1"/>
        <v>-1</v>
      </c>
      <c r="F32" s="12">
        <f t="shared" si="2"/>
        <v>-65.0189170000012</v>
      </c>
      <c r="G32" s="12">
        <f t="shared" si="3"/>
        <v>0</v>
      </c>
      <c r="H32" s="12">
        <f t="shared" si="4"/>
        <v>-11.3189170000005</v>
      </c>
      <c r="I32" s="12">
        <f t="shared" si="5"/>
        <v>0</v>
      </c>
      <c r="J32" s="12">
        <f t="shared" si="6"/>
        <v>-11.3189170000005</v>
      </c>
      <c r="K32" s="12">
        <f t="shared" si="18"/>
        <v>-60</v>
      </c>
      <c r="L32" s="12">
        <f t="shared" si="7"/>
        <v>-363.208917</v>
      </c>
      <c r="M32" s="19">
        <f t="shared" si="8"/>
        <v>0</v>
      </c>
      <c r="N32" s="19">
        <f t="shared" si="9"/>
        <v>-0.0909101364756953</v>
      </c>
      <c r="O32" s="12">
        <f t="shared" si="10"/>
        <v>500</v>
      </c>
      <c r="P32" s="12">
        <f t="shared" si="11"/>
        <v>12439.346585</v>
      </c>
      <c r="Q32" s="12">
        <f t="shared" si="12"/>
        <v>-8</v>
      </c>
      <c r="R32" s="12">
        <f t="shared" si="13"/>
        <v>-465.638917</v>
      </c>
      <c r="S32" s="30">
        <f t="shared" si="14"/>
        <v>-8</v>
      </c>
      <c r="T32" s="12">
        <f t="shared" si="15"/>
        <v>-465.638917</v>
      </c>
      <c r="U32" s="19">
        <f t="shared" si="16"/>
        <v>-1.5748031496063</v>
      </c>
      <c r="V32" s="19">
        <f t="shared" si="17"/>
        <v>-3.60820953210553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508</v>
      </c>
      <c r="AH32" s="41">
        <v>12904.985502</v>
      </c>
      <c r="AI32" s="47">
        <v>501</v>
      </c>
      <c r="AJ32" s="47">
        <v>12504.365502</v>
      </c>
      <c r="AK32" s="47">
        <v>501</v>
      </c>
      <c r="AL32" s="47">
        <v>12504.365502</v>
      </c>
      <c r="AM32" s="41">
        <v>500</v>
      </c>
      <c r="AN32" s="41">
        <v>12450.665502</v>
      </c>
      <c r="AO32" s="41">
        <v>508</v>
      </c>
      <c r="AP32" s="49">
        <v>12904.985502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2133</v>
      </c>
      <c r="D33" s="12">
        <v>97439.190979</v>
      </c>
      <c r="E33" s="12">
        <f t="shared" si="1"/>
        <v>-5</v>
      </c>
      <c r="F33" s="12">
        <f t="shared" si="2"/>
        <v>-477.928460999989</v>
      </c>
      <c r="G33" s="12">
        <f t="shared" si="3"/>
        <v>-7</v>
      </c>
      <c r="H33" s="12">
        <f t="shared" si="4"/>
        <v>-1287.6388649999</v>
      </c>
      <c r="I33" s="12">
        <f t="shared" si="5"/>
        <v>-7</v>
      </c>
      <c r="J33" s="12">
        <f t="shared" si="6"/>
        <v>-1287.6388649999</v>
      </c>
      <c r="K33" s="12">
        <f t="shared" si="18"/>
        <v>-38</v>
      </c>
      <c r="L33" s="12">
        <f t="shared" si="7"/>
        <v>53.2811350001011</v>
      </c>
      <c r="M33" s="19">
        <f t="shared" si="8"/>
        <v>-0.327102803738318</v>
      </c>
      <c r="N33" s="19">
        <f t="shared" si="9"/>
        <v>-1.30424411179263</v>
      </c>
      <c r="O33" s="12">
        <f t="shared" si="10"/>
        <v>2133</v>
      </c>
      <c r="P33" s="12">
        <f t="shared" si="11"/>
        <v>97439.190979</v>
      </c>
      <c r="Q33" s="12">
        <f t="shared" si="12"/>
        <v>-56</v>
      </c>
      <c r="R33" s="12">
        <f t="shared" si="13"/>
        <v>-4677.33064999999</v>
      </c>
      <c r="S33" s="30">
        <f t="shared" si="14"/>
        <v>-56</v>
      </c>
      <c r="T33" s="12">
        <f t="shared" si="15"/>
        <v>-4677.33064999999</v>
      </c>
      <c r="U33" s="19">
        <f t="shared" si="16"/>
        <v>-2.55824577432618</v>
      </c>
      <c r="V33" s="19">
        <f t="shared" si="17"/>
        <v>-4.58038579397878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2189</v>
      </c>
      <c r="AH33" s="41">
        <v>102116.521629</v>
      </c>
      <c r="AI33" s="47">
        <v>2138</v>
      </c>
      <c r="AJ33" s="47">
        <v>97917.11944</v>
      </c>
      <c r="AK33" s="47">
        <v>2138</v>
      </c>
      <c r="AL33" s="47">
        <v>97917.11944</v>
      </c>
      <c r="AM33" s="41">
        <v>2140</v>
      </c>
      <c r="AN33" s="41">
        <v>98726.8298439999</v>
      </c>
      <c r="AO33" s="41">
        <v>2189</v>
      </c>
      <c r="AP33" s="49">
        <v>102116.521629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610</v>
      </c>
      <c r="D34" s="12">
        <v>27301.120124</v>
      </c>
      <c r="E34" s="12">
        <f t="shared" si="1"/>
        <v>0</v>
      </c>
      <c r="F34" s="12">
        <f t="shared" si="2"/>
        <v>-43.4483589999982</v>
      </c>
      <c r="G34" s="12">
        <f t="shared" si="3"/>
        <v>1</v>
      </c>
      <c r="H34" s="12">
        <f t="shared" si="4"/>
        <v>20.4163140000019</v>
      </c>
      <c r="I34" s="12">
        <f t="shared" si="5"/>
        <v>1</v>
      </c>
      <c r="J34" s="12">
        <f t="shared" si="6"/>
        <v>20.4163140000019</v>
      </c>
      <c r="K34" s="12">
        <f t="shared" si="18"/>
        <v>-31</v>
      </c>
      <c r="L34" s="12">
        <f t="shared" si="7"/>
        <v>-1235.103686</v>
      </c>
      <c r="M34" s="19">
        <f t="shared" si="8"/>
        <v>0.164203612479475</v>
      </c>
      <c r="N34" s="19">
        <f t="shared" si="9"/>
        <v>0.0748379299236337</v>
      </c>
      <c r="O34" s="12">
        <f t="shared" si="10"/>
        <v>610</v>
      </c>
      <c r="P34" s="12">
        <f t="shared" si="11"/>
        <v>27301.120124</v>
      </c>
      <c r="Q34" s="12">
        <f t="shared" si="12"/>
        <v>-8</v>
      </c>
      <c r="R34" s="12">
        <f t="shared" si="13"/>
        <v>-1909.440086</v>
      </c>
      <c r="S34" s="12">
        <f t="shared" si="14"/>
        <v>-8</v>
      </c>
      <c r="T34" s="12">
        <f t="shared" si="15"/>
        <v>-1909.440086</v>
      </c>
      <c r="U34" s="19">
        <f t="shared" si="16"/>
        <v>-1.29449838187702</v>
      </c>
      <c r="V34" s="19">
        <f t="shared" si="17"/>
        <v>-6.53681433109358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618</v>
      </c>
      <c r="AH34" s="41">
        <v>29210.56021</v>
      </c>
      <c r="AI34" s="47">
        <v>610</v>
      </c>
      <c r="AJ34" s="47">
        <v>27344.568483</v>
      </c>
      <c r="AK34" s="47">
        <v>610</v>
      </c>
      <c r="AL34" s="47">
        <v>27344.568483</v>
      </c>
      <c r="AM34" s="41">
        <v>609</v>
      </c>
      <c r="AN34" s="41">
        <v>27280.70381</v>
      </c>
      <c r="AO34" s="41">
        <v>618</v>
      </c>
      <c r="AP34" s="49">
        <v>29210.56021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2511</v>
      </c>
      <c r="D35" s="12">
        <v>96822</v>
      </c>
      <c r="E35" s="12">
        <f t="shared" si="1"/>
        <v>-7</v>
      </c>
      <c r="F35" s="12">
        <f t="shared" si="2"/>
        <v>-70</v>
      </c>
      <c r="G35" s="12">
        <f t="shared" si="3"/>
        <v>-10</v>
      </c>
      <c r="H35" s="12">
        <f t="shared" si="4"/>
        <v>-582</v>
      </c>
      <c r="I35" s="12">
        <f t="shared" si="5"/>
        <v>-10</v>
      </c>
      <c r="J35" s="12">
        <f t="shared" si="6"/>
        <v>-582</v>
      </c>
      <c r="K35" s="12">
        <f t="shared" si="18"/>
        <v>-133</v>
      </c>
      <c r="L35" s="12">
        <f t="shared" si="7"/>
        <v>-5896</v>
      </c>
      <c r="M35" s="19">
        <f t="shared" si="8"/>
        <v>-0.396667988893296</v>
      </c>
      <c r="N35" s="19">
        <f t="shared" si="9"/>
        <v>-0.5975113958359</v>
      </c>
      <c r="O35" s="12">
        <f t="shared" si="10"/>
        <v>2511</v>
      </c>
      <c r="P35" s="12">
        <f t="shared" si="11"/>
        <v>96822</v>
      </c>
      <c r="Q35" s="12">
        <f t="shared" si="12"/>
        <v>-52</v>
      </c>
      <c r="R35" s="12">
        <f t="shared" si="13"/>
        <v>-2739.876879</v>
      </c>
      <c r="S35" s="12">
        <f t="shared" si="14"/>
        <v>-52</v>
      </c>
      <c r="T35" s="12">
        <f t="shared" si="15"/>
        <v>-2739.876879</v>
      </c>
      <c r="U35" s="19">
        <f t="shared" si="16"/>
        <v>-2.02887241513851</v>
      </c>
      <c r="V35" s="19">
        <f t="shared" si="17"/>
        <v>-2.7519337369763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2563</v>
      </c>
      <c r="AH35" s="41">
        <v>99561.876879</v>
      </c>
      <c r="AI35" s="47">
        <v>2518</v>
      </c>
      <c r="AJ35" s="47">
        <v>96892</v>
      </c>
      <c r="AK35" s="47">
        <v>2518</v>
      </c>
      <c r="AL35" s="47">
        <v>96892</v>
      </c>
      <c r="AM35" s="41">
        <v>2521</v>
      </c>
      <c r="AN35" s="41">
        <v>97404</v>
      </c>
      <c r="AO35" s="41">
        <v>2563</v>
      </c>
      <c r="AP35" s="49">
        <v>99561.876879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2543</v>
      </c>
      <c r="D36" s="12">
        <v>84532</v>
      </c>
      <c r="E36" s="12">
        <f t="shared" si="1"/>
        <v>0</v>
      </c>
      <c r="F36" s="12">
        <f t="shared" si="2"/>
        <v>-21</v>
      </c>
      <c r="G36" s="12">
        <f t="shared" si="3"/>
        <v>0</v>
      </c>
      <c r="H36" s="12">
        <f t="shared" si="4"/>
        <v>-33</v>
      </c>
      <c r="I36" s="12">
        <f t="shared" si="5"/>
        <v>0</v>
      </c>
      <c r="J36" s="12">
        <f t="shared" si="6"/>
        <v>-33</v>
      </c>
      <c r="K36" s="12">
        <f t="shared" si="18"/>
        <v>-3</v>
      </c>
      <c r="L36" s="12">
        <f t="shared" si="7"/>
        <v>-39</v>
      </c>
      <c r="M36" s="19">
        <f t="shared" si="8"/>
        <v>0</v>
      </c>
      <c r="N36" s="19">
        <f t="shared" si="9"/>
        <v>-0.0390232365635901</v>
      </c>
      <c r="O36" s="12">
        <f t="shared" si="10"/>
        <v>2543</v>
      </c>
      <c r="P36" s="12">
        <f t="shared" si="11"/>
        <v>84532</v>
      </c>
      <c r="Q36" s="12">
        <f t="shared" si="12"/>
        <v>-22</v>
      </c>
      <c r="R36" s="12">
        <f t="shared" si="13"/>
        <v>-957.926999999996</v>
      </c>
      <c r="S36" s="12">
        <f t="shared" si="14"/>
        <v>-22</v>
      </c>
      <c r="T36" s="12">
        <f t="shared" si="15"/>
        <v>-957.926999999996</v>
      </c>
      <c r="U36" s="19">
        <f t="shared" si="16"/>
        <v>-0.857699805068226</v>
      </c>
      <c r="V36" s="19">
        <f t="shared" si="17"/>
        <v>-1.12051446716055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2565</v>
      </c>
      <c r="AH36" s="49">
        <v>85489.927</v>
      </c>
      <c r="AI36" s="47">
        <v>2543</v>
      </c>
      <c r="AJ36" s="47">
        <v>84553</v>
      </c>
      <c r="AK36" s="47">
        <v>2543</v>
      </c>
      <c r="AL36" s="47">
        <v>84553</v>
      </c>
      <c r="AM36" s="41">
        <v>2543</v>
      </c>
      <c r="AN36" s="41">
        <v>84565</v>
      </c>
      <c r="AO36" s="41">
        <v>2565</v>
      </c>
      <c r="AP36" s="49">
        <v>85489.927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296</v>
      </c>
      <c r="D37" s="12">
        <v>13600.778856</v>
      </c>
      <c r="E37" s="12">
        <f t="shared" si="1"/>
        <v>2</v>
      </c>
      <c r="F37" s="12">
        <f t="shared" si="2"/>
        <v>-36.0999999999985</v>
      </c>
      <c r="G37" s="12">
        <f t="shared" si="3"/>
        <v>3</v>
      </c>
      <c r="H37" s="12">
        <f t="shared" si="4"/>
        <v>-52.3999999999996</v>
      </c>
      <c r="I37" s="12">
        <f t="shared" si="5"/>
        <v>3</v>
      </c>
      <c r="J37" s="12">
        <f t="shared" si="6"/>
        <v>-52.3999999999996</v>
      </c>
      <c r="K37" s="12">
        <f t="shared" si="18"/>
        <v>-41</v>
      </c>
      <c r="L37" s="12">
        <f t="shared" si="7"/>
        <v>-1058.01</v>
      </c>
      <c r="M37" s="19">
        <f t="shared" si="8"/>
        <v>1.02389078498294</v>
      </c>
      <c r="N37" s="19">
        <f t="shared" si="9"/>
        <v>-0.383793404837526</v>
      </c>
      <c r="O37" s="12">
        <f t="shared" si="10"/>
        <v>296</v>
      </c>
      <c r="P37" s="12">
        <f t="shared" si="11"/>
        <v>13600.778856</v>
      </c>
      <c r="Q37" s="12">
        <f t="shared" si="12"/>
        <v>-1</v>
      </c>
      <c r="R37" s="12">
        <f t="shared" si="13"/>
        <v>-118</v>
      </c>
      <c r="S37" s="12">
        <f t="shared" si="14"/>
        <v>-1</v>
      </c>
      <c r="T37" s="12">
        <f t="shared" si="15"/>
        <v>-118</v>
      </c>
      <c r="U37" s="19">
        <f t="shared" si="16"/>
        <v>-0.336700336700337</v>
      </c>
      <c r="V37" s="19">
        <f t="shared" si="17"/>
        <v>-0.860134865053181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297</v>
      </c>
      <c r="AH37" s="49">
        <v>13718.778856</v>
      </c>
      <c r="AI37" s="47">
        <v>294</v>
      </c>
      <c r="AJ37" s="47">
        <v>13636.878856</v>
      </c>
      <c r="AK37" s="47">
        <v>294</v>
      </c>
      <c r="AL37" s="47">
        <v>13636.878856</v>
      </c>
      <c r="AM37" s="41">
        <v>293</v>
      </c>
      <c r="AN37" s="41">
        <v>13653.178856</v>
      </c>
      <c r="AO37" s="41">
        <v>297</v>
      </c>
      <c r="AP37" s="49">
        <v>13718.778856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443</v>
      </c>
      <c r="D38" s="12">
        <v>19620.825963</v>
      </c>
      <c r="E38" s="12">
        <f t="shared" si="1"/>
        <v>1</v>
      </c>
      <c r="F38" s="12">
        <f t="shared" si="2"/>
        <v>-14.3758930000004</v>
      </c>
      <c r="G38" s="12">
        <f t="shared" si="3"/>
        <v>-1</v>
      </c>
      <c r="H38" s="12">
        <f t="shared" si="4"/>
        <v>-107.899139000001</v>
      </c>
      <c r="I38" s="12">
        <f t="shared" si="5"/>
        <v>-1</v>
      </c>
      <c r="J38" s="12">
        <f t="shared" si="6"/>
        <v>-107.899139000001</v>
      </c>
      <c r="K38" s="12">
        <f t="shared" si="18"/>
        <v>-41</v>
      </c>
      <c r="L38" s="12">
        <f t="shared" si="7"/>
        <v>-1126.899139</v>
      </c>
      <c r="M38" s="19">
        <f t="shared" si="8"/>
        <v>-0.225225225225225</v>
      </c>
      <c r="N38" s="19">
        <f t="shared" si="9"/>
        <v>-0.546913895561669</v>
      </c>
      <c r="O38" s="12">
        <f t="shared" si="10"/>
        <v>443</v>
      </c>
      <c r="P38" s="12">
        <f t="shared" si="11"/>
        <v>19620.825963</v>
      </c>
      <c r="Q38" s="12">
        <f t="shared" si="12"/>
        <v>-6</v>
      </c>
      <c r="R38" s="12">
        <f t="shared" si="13"/>
        <v>-255.632339</v>
      </c>
      <c r="S38" s="12">
        <f t="shared" si="14"/>
        <v>-6</v>
      </c>
      <c r="T38" s="12">
        <f t="shared" si="15"/>
        <v>-255.632339</v>
      </c>
      <c r="U38" s="19">
        <f t="shared" si="16"/>
        <v>-1.33630289532294</v>
      </c>
      <c r="V38" s="19">
        <f t="shared" si="17"/>
        <v>-1.28610608145556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449</v>
      </c>
      <c r="AH38" s="49">
        <v>19876.458302</v>
      </c>
      <c r="AI38" s="47">
        <v>442</v>
      </c>
      <c r="AJ38" s="47">
        <v>19635.201856</v>
      </c>
      <c r="AK38" s="47">
        <v>442</v>
      </c>
      <c r="AL38" s="47">
        <v>19635.201856</v>
      </c>
      <c r="AM38" s="41">
        <v>444</v>
      </c>
      <c r="AN38" s="41">
        <v>19728.725102</v>
      </c>
      <c r="AO38" s="41">
        <v>449</v>
      </c>
      <c r="AP38" s="49">
        <v>19876.458302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410</v>
      </c>
      <c r="D39" s="12">
        <v>17865.971198</v>
      </c>
      <c r="E39" s="12">
        <f t="shared" si="1"/>
        <v>5</v>
      </c>
      <c r="F39" s="12">
        <f t="shared" si="2"/>
        <v>166.569714999998</v>
      </c>
      <c r="G39" s="12">
        <f t="shared" si="3"/>
        <v>6</v>
      </c>
      <c r="H39" s="12">
        <f t="shared" si="4"/>
        <v>307.532714999998</v>
      </c>
      <c r="I39" s="12">
        <f t="shared" si="5"/>
        <v>6</v>
      </c>
      <c r="J39" s="12">
        <f t="shared" si="6"/>
        <v>307.532714999998</v>
      </c>
      <c r="K39" s="12">
        <f t="shared" si="18"/>
        <v>-12</v>
      </c>
      <c r="L39" s="12">
        <f t="shared" si="7"/>
        <v>-693.647285000002</v>
      </c>
      <c r="M39" s="19">
        <f t="shared" si="8"/>
        <v>1.48514851485149</v>
      </c>
      <c r="N39" s="19">
        <f t="shared" si="9"/>
        <v>1.75148100611424</v>
      </c>
      <c r="O39" s="12">
        <f t="shared" si="10"/>
        <v>410</v>
      </c>
      <c r="P39" s="12">
        <f t="shared" si="11"/>
        <v>17865.971198</v>
      </c>
      <c r="Q39" s="12">
        <f t="shared" si="12"/>
        <v>1</v>
      </c>
      <c r="R39" s="12">
        <f t="shared" si="13"/>
        <v>-472.331395000001</v>
      </c>
      <c r="S39" s="12">
        <f t="shared" si="14"/>
        <v>1</v>
      </c>
      <c r="T39" s="12">
        <f t="shared" si="15"/>
        <v>-472.331395000001</v>
      </c>
      <c r="U39" s="19">
        <f t="shared" si="16"/>
        <v>0.244498777506112</v>
      </c>
      <c r="V39" s="19">
        <f t="shared" si="17"/>
        <v>-2.57565493100925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409</v>
      </c>
      <c r="AH39" s="51">
        <v>18338.302593</v>
      </c>
      <c r="AI39" s="47">
        <v>405</v>
      </c>
      <c r="AJ39" s="47">
        <v>17699.401483</v>
      </c>
      <c r="AK39" s="47">
        <v>405</v>
      </c>
      <c r="AL39" s="47">
        <v>17699.401483</v>
      </c>
      <c r="AM39" s="41">
        <v>404</v>
      </c>
      <c r="AN39" s="41">
        <v>17558.438483</v>
      </c>
      <c r="AO39" s="41">
        <v>409</v>
      </c>
      <c r="AP39" s="49">
        <v>18338.302593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326</v>
      </c>
      <c r="D40" s="12">
        <v>422430.974804</v>
      </c>
      <c r="E40" s="12">
        <f t="shared" si="1"/>
        <v>2</v>
      </c>
      <c r="F40" s="12">
        <f t="shared" si="2"/>
        <v>3800</v>
      </c>
      <c r="G40" s="12">
        <f t="shared" si="3"/>
        <v>2</v>
      </c>
      <c r="H40" s="12">
        <f t="shared" si="4"/>
        <v>3800</v>
      </c>
      <c r="I40" s="12">
        <f t="shared" si="5"/>
        <v>2</v>
      </c>
      <c r="J40" s="12">
        <f t="shared" si="6"/>
        <v>3800</v>
      </c>
      <c r="K40" s="12">
        <f t="shared" si="18"/>
        <v>-9</v>
      </c>
      <c r="L40" s="12">
        <f t="shared" si="7"/>
        <v>-5422.97000000003</v>
      </c>
      <c r="M40" s="19">
        <f t="shared" si="8"/>
        <v>0.617283950617284</v>
      </c>
      <c r="N40" s="19">
        <f t="shared" si="9"/>
        <v>0.907720696438942</v>
      </c>
      <c r="O40" s="12">
        <f t="shared" si="10"/>
        <v>326</v>
      </c>
      <c r="P40" s="12">
        <f t="shared" si="11"/>
        <v>422430.974804</v>
      </c>
      <c r="Q40" s="12">
        <f t="shared" si="12"/>
        <v>7</v>
      </c>
      <c r="R40" s="12">
        <f t="shared" si="13"/>
        <v>-6076.52189999999</v>
      </c>
      <c r="S40" s="12">
        <f t="shared" si="14"/>
        <v>7</v>
      </c>
      <c r="T40" s="12">
        <f t="shared" si="15"/>
        <v>-6076.52189999999</v>
      </c>
      <c r="U40" s="19">
        <f t="shared" si="16"/>
        <v>2.19435736677116</v>
      </c>
      <c r="V40" s="19">
        <f t="shared" si="17"/>
        <v>-1.41806664918105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319</v>
      </c>
      <c r="AH40" s="41">
        <v>428507.496704</v>
      </c>
      <c r="AI40" s="47">
        <v>324</v>
      </c>
      <c r="AJ40" s="47">
        <v>418630.974804</v>
      </c>
      <c r="AK40" s="47">
        <v>324</v>
      </c>
      <c r="AL40" s="47">
        <v>418630.974804</v>
      </c>
      <c r="AM40" s="41">
        <v>324</v>
      </c>
      <c r="AN40" s="41">
        <v>418630.974804</v>
      </c>
      <c r="AO40" s="41">
        <v>319</v>
      </c>
      <c r="AP40" s="49">
        <v>428507.496704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17605.826115</v>
      </c>
      <c r="E41" s="12">
        <f t="shared" si="1"/>
        <v>0</v>
      </c>
      <c r="F41" s="12">
        <f t="shared" si="2"/>
        <v>0</v>
      </c>
      <c r="G41" s="12">
        <f t="shared" si="3"/>
        <v>0</v>
      </c>
      <c r="H41" s="12">
        <f t="shared" si="4"/>
        <v>0</v>
      </c>
      <c r="I41" s="12">
        <f t="shared" si="5"/>
        <v>0</v>
      </c>
      <c r="J41" s="12">
        <f t="shared" si="6"/>
        <v>0</v>
      </c>
      <c r="K41" s="12">
        <f t="shared" si="18"/>
        <v>-34</v>
      </c>
      <c r="L41" s="12">
        <f t="shared" si="7"/>
        <v>-920.760000000002</v>
      </c>
      <c r="M41" s="19">
        <f t="shared" si="8"/>
        <v>0</v>
      </c>
      <c r="N41" s="19">
        <f t="shared" si="9"/>
        <v>0</v>
      </c>
      <c r="O41" s="12">
        <f>C41+W41+AA41-AC41+Y41</f>
        <v>352</v>
      </c>
      <c r="P41" s="12">
        <f>D41+X41+AB41-AD41+Z41</f>
        <v>17605.826115</v>
      </c>
      <c r="Q41" s="12">
        <f t="shared" si="12"/>
        <v>-126</v>
      </c>
      <c r="R41" s="12">
        <f t="shared" si="13"/>
        <v>1010.66249</v>
      </c>
      <c r="S41" s="12">
        <f t="shared" si="14"/>
        <v>-126</v>
      </c>
      <c r="T41" s="12">
        <f t="shared" si="15"/>
        <v>1010.66249</v>
      </c>
      <c r="U41" s="19">
        <f t="shared" si="16"/>
        <v>-26.3598326359833</v>
      </c>
      <c r="V41" s="19">
        <f t="shared" si="17"/>
        <v>6.09010259156151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478</v>
      </c>
      <c r="AH41" s="41">
        <v>16595.163625</v>
      </c>
      <c r="AI41" s="47">
        <v>352</v>
      </c>
      <c r="AJ41" s="47">
        <v>17605.826115</v>
      </c>
      <c r="AK41" s="47">
        <v>352</v>
      </c>
      <c r="AL41" s="47">
        <v>17605.826115</v>
      </c>
      <c r="AM41" s="41">
        <v>352</v>
      </c>
      <c r="AN41" s="41">
        <v>17605.826115</v>
      </c>
      <c r="AO41" s="41">
        <v>478</v>
      </c>
      <c r="AP41" s="49">
        <v>16595.163625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1737788</v>
      </c>
      <c r="E42" s="16"/>
      <c r="F42" s="12">
        <v>2542</v>
      </c>
      <c r="G42" s="16"/>
      <c r="H42" s="12">
        <v>-154</v>
      </c>
      <c r="I42" s="16"/>
      <c r="J42" s="12">
        <v>-154</v>
      </c>
      <c r="K42" s="12"/>
      <c r="L42" s="12"/>
      <c r="M42" s="20"/>
      <c r="N42" s="19">
        <v>-0.01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2026-01-03T05:45:40Z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