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<sst xmlns="http://schemas.openxmlformats.org/spreadsheetml/2006/main" count="139" uniqueCount="66">
  <si>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</si>
  <si>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2026.01.05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</si>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</sst>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W5" sqref="W$1:AP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24895</v>
      </c>
      <c r="D6" s="12">
        <f>SUM(D7:D41)</f>
        <v>1394208.700428</v>
      </c>
      <c r="E6" s="12">
        <f>C6-AI6</f>
        <v>179</v>
      </c>
      <c r="F6" s="12">
        <f>D6-AJ6</f>
        <v>1444.54868300003</v>
      </c>
      <c r="G6" s="12">
        <f>C6-AM6</f>
        <v>304</v>
      </c>
      <c r="H6" s="12">
        <f>D6-AN6</f>
        <v>767.154440999962</v>
      </c>
      <c r="I6" s="12">
        <f>C6-AE6</f>
        <v>304</v>
      </c>
      <c r="J6" s="12">
        <f>D6-AF6</f>
        <v>767.154440999962</v>
      </c>
      <c r="K6" s="12">
        <f>I6-AS6</f>
        <v>-1228</v>
      </c>
      <c r="L6" s="12">
        <f>J6-AT6</f>
        <v>-43083.3355589998</v>
      </c>
      <c r="M6" s="19">
        <f>I6/AE6*100</f>
        <v>1.23622463502908</v>
      </c>
      <c r="N6" s="19">
        <f>J6/AF6*100</f>
        <v>0.0550546553753407</v>
      </c>
      <c r="O6" s="12">
        <f>C6+Y6</f>
        <v>24895</v>
      </c>
      <c r="P6" s="12">
        <f>D6+Z6</f>
        <v>1394208.700428</v>
      </c>
      <c r="Q6" s="12">
        <f>O6-AO6</f>
        <v>304</v>
      </c>
      <c r="R6" s="12">
        <f>P6-AP6</f>
        <v>767.154440999962</v>
      </c>
      <c r="S6" s="30">
        <f>O6-AG6</f>
        <v>304</v>
      </c>
      <c r="T6" s="12">
        <f>P6-AH6</f>
        <v>767.154440999962</v>
      </c>
      <c r="U6" s="19">
        <f>S6/AG6*100</f>
        <v>1.23622463502908</v>
      </c>
      <c r="V6" s="19">
        <f>T6/AH6*100</f>
        <v>0.0550546553753407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24716</v>
      </c>
      <c r="AJ6" s="47">
        <v>1392764.151745</v>
      </c>
      <c r="AK6" s="47">
        <v>24591</v>
      </c>
      <c r="AL6" s="48">
        <v>1393441.545987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1650</v>
      </c>
      <c r="D7" s="12">
        <v>81274.441106</v>
      </c>
      <c r="E7" s="12">
        <f>C7-AI7</f>
        <v>-1</v>
      </c>
      <c r="F7" s="12">
        <f>D7-AJ7</f>
        <v>-302.328047999996</v>
      </c>
      <c r="G7" s="12">
        <f>C7-AM7</f>
        <v>-7</v>
      </c>
      <c r="H7" s="12">
        <f>D7-AN7</f>
        <v>-1135.47479000001</v>
      </c>
      <c r="I7" s="12">
        <f>C7-AE7</f>
        <v>-7</v>
      </c>
      <c r="J7" s="12">
        <f>D7-AF7</f>
        <v>-1135.47479000001</v>
      </c>
      <c r="K7" s="12">
        <f t="shared" ref="K6:K12" si="0">I7-AS7</f>
        <v>-38</v>
      </c>
      <c r="L7" s="12">
        <f>J7-AT7</f>
        <v>-2643.01479000002</v>
      </c>
      <c r="M7" s="19">
        <f>I7/AE7*100</f>
        <v>-0.422450211225106</v>
      </c>
      <c r="N7" s="19">
        <f>J7/AF7*100</f>
        <v>-1.37783757895465</v>
      </c>
      <c r="O7" s="12">
        <f>C7+W7+AA7-AC7</f>
        <v>1650</v>
      </c>
      <c r="P7" s="12">
        <f>D7+X7+AB7-AD7</f>
        <v>81274.441106</v>
      </c>
      <c r="Q7" s="12">
        <f>O7-AO7</f>
        <v>-7</v>
      </c>
      <c r="R7" s="12">
        <f>P7-AP7</f>
        <v>-1135.47479000001</v>
      </c>
      <c r="S7" s="12">
        <f>O7-AG7</f>
        <v>-7</v>
      </c>
      <c r="T7" s="12">
        <f>P7-AH7</f>
        <v>-1135.47479000001</v>
      </c>
      <c r="U7" s="19">
        <f>S7/AG7*100</f>
        <v>-0.422450211225106</v>
      </c>
      <c r="V7" s="19">
        <f>T7/AH7*100</f>
        <v>-1.37783757895465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1651</v>
      </c>
      <c r="AJ7" s="47">
        <v>81576.769154</v>
      </c>
      <c r="AK7" s="47">
        <v>1657</v>
      </c>
      <c r="AL7" s="47">
        <v>82409.915896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1920</v>
      </c>
      <c r="D8" s="12">
        <v>122601.117666</v>
      </c>
      <c r="E8" s="12">
        <f>C8-AI8</f>
        <v>1</v>
      </c>
      <c r="F8" s="12">
        <f>D8-AJ8</f>
        <v>515.371140000003</v>
      </c>
      <c r="G8" s="12">
        <f>C8-AM8</f>
        <v>-5</v>
      </c>
      <c r="H8" s="12">
        <f>D8-AN8</f>
        <v>-627.251929999999</v>
      </c>
      <c r="I8" s="12">
        <f>C8-AE8</f>
        <v>-5</v>
      </c>
      <c r="J8" s="12">
        <f>D8-AF8</f>
        <v>-627.251929999999</v>
      </c>
      <c r="K8" s="12">
        <f t="shared" si="0"/>
        <v>-5</v>
      </c>
      <c r="L8" s="12">
        <f>J8-AT8</f>
        <v>486.598070000011</v>
      </c>
      <c r="M8" s="19">
        <f>I8/AE8*100</f>
        <v>-0.25974025974026</v>
      </c>
      <c r="N8" s="19">
        <f>J8/AF8*100</f>
        <v>-0.509015847614005</v>
      </c>
      <c r="O8" s="12">
        <f>C8+W8+AA8-AC8</f>
        <v>1920</v>
      </c>
      <c r="P8" s="12">
        <f>D8+X8+AB8-AD8</f>
        <v>122601.117666</v>
      </c>
      <c r="Q8" s="12">
        <f>O8-AO8</f>
        <v>-5</v>
      </c>
      <c r="R8" s="12">
        <f>P8-AP8</f>
        <v>-627.251929999999</v>
      </c>
      <c r="S8" s="30">
        <f>O8-AG8</f>
        <v>-5</v>
      </c>
      <c r="T8" s="12">
        <f>P8-AH8</f>
        <v>-627.251929999999</v>
      </c>
      <c r="U8" s="19">
        <f>S8/AG8*100</f>
        <v>-0.25974025974026</v>
      </c>
      <c r="V8" s="19">
        <f>T8/AH8*100</f>
        <v>-0.509015847614005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1919</v>
      </c>
      <c r="AJ8" s="47">
        <v>122085.746526</v>
      </c>
      <c r="AK8" s="47">
        <v>1925</v>
      </c>
      <c r="AL8" s="47">
        <v>123228.369596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752</v>
      </c>
      <c r="D9" s="12">
        <v>23476.36005</v>
      </c>
      <c r="E9" s="12">
        <f t="shared" ref="E9:E41" si="1">C9-AI9</f>
        <v>24</v>
      </c>
      <c r="F9" s="12">
        <f t="shared" ref="F9:F41" si="2">D9-AJ9</f>
        <v>359.299999999999</v>
      </c>
      <c r="G9" s="12">
        <f t="shared" ref="G9:G41" si="3">C9-AM9</f>
        <v>39</v>
      </c>
      <c r="H9" s="12">
        <f t="shared" ref="H9:H41" si="4">D9-AN9</f>
        <v>358.064813999998</v>
      </c>
      <c r="I9" s="12">
        <f t="shared" ref="I9:I41" si="5">C9-AE9</f>
        <v>39</v>
      </c>
      <c r="J9" s="12">
        <f t="shared" ref="J9:J41" si="6">D9-AF9</f>
        <v>358.064813999998</v>
      </c>
      <c r="K9" s="12">
        <f t="shared" si="0"/>
        <v>-62</v>
      </c>
      <c r="L9" s="12">
        <f t="shared" ref="L9:L41" si="7">J9-AT9</f>
        <v>-895.015186000002</v>
      </c>
      <c r="M9" s="19">
        <f t="shared" ref="M9:M41" si="8">I9/AE9*100</f>
        <v>5.46984572230014</v>
      </c>
      <c r="N9" s="19">
        <f t="shared" ref="N9:N41" si="9">J9/AF9*100</f>
        <v>1.54883744819737</v>
      </c>
      <c r="O9" s="12">
        <f t="shared" ref="O9:O40" si="10">C9+W9+AA9-AC9</f>
        <v>752</v>
      </c>
      <c r="P9" s="12">
        <f t="shared" ref="P9:P40" si="11">D9+X9+AB9-AD9</f>
        <v>23476.36005</v>
      </c>
      <c r="Q9" s="12">
        <f t="shared" ref="Q9:Q41" si="12">O9-AO9</f>
        <v>39</v>
      </c>
      <c r="R9" s="12">
        <f t="shared" ref="R9:R41" si="13">P9-AP9</f>
        <v>358.064813999998</v>
      </c>
      <c r="S9" s="12">
        <f t="shared" ref="S9:S41" si="14">O9-AG9</f>
        <v>39</v>
      </c>
      <c r="T9" s="12">
        <f t="shared" ref="T9:T41" si="15">P9-AH9</f>
        <v>358.064813999998</v>
      </c>
      <c r="U9" s="19">
        <f t="shared" ref="U9:U41" si="16">S9/AG9*100</f>
        <v>5.46984572230014</v>
      </c>
      <c r="V9" s="19">
        <f t="shared" ref="V9:V41" si="17">T9/AH9*100</f>
        <v>1.54883744819737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728</v>
      </c>
      <c r="AJ9" s="47">
        <v>23117.06005</v>
      </c>
      <c r="AK9" s="47">
        <v>713</v>
      </c>
      <c r="AL9" s="47">
        <v>23118.295236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919</v>
      </c>
      <c r="D10" s="12">
        <v>27742.331075</v>
      </c>
      <c r="E10" s="12">
        <f t="shared" si="1"/>
        <v>12</v>
      </c>
      <c r="F10" s="12">
        <f t="shared" si="2"/>
        <v>-122.650000000001</v>
      </c>
      <c r="G10" s="12">
        <f t="shared" si="3"/>
        <v>28</v>
      </c>
      <c r="H10" s="12">
        <f t="shared" si="4"/>
        <v>-133.370000000003</v>
      </c>
      <c r="I10" s="12">
        <f t="shared" si="5"/>
        <v>28</v>
      </c>
      <c r="J10" s="12">
        <f t="shared" si="6"/>
        <v>-133.370000000003</v>
      </c>
      <c r="K10" s="12">
        <f t="shared" si="0"/>
        <v>10</v>
      </c>
      <c r="L10" s="12">
        <f t="shared" si="7"/>
        <v>-1844.14</v>
      </c>
      <c r="M10" s="19">
        <f t="shared" si="8"/>
        <v>3.14253647586981</v>
      </c>
      <c r="N10" s="19">
        <f t="shared" si="9"/>
        <v>-0.478445365880372</v>
      </c>
      <c r="O10" s="12">
        <f t="shared" si="10"/>
        <v>919</v>
      </c>
      <c r="P10" s="12">
        <f t="shared" si="11"/>
        <v>27742.331075</v>
      </c>
      <c r="Q10" s="12">
        <f t="shared" si="12"/>
        <v>28</v>
      </c>
      <c r="R10" s="12">
        <f t="shared" si="13"/>
        <v>-133.370000000003</v>
      </c>
      <c r="S10" s="12">
        <f t="shared" si="14"/>
        <v>28</v>
      </c>
      <c r="T10" s="12">
        <f t="shared" si="15"/>
        <v>-133.370000000003</v>
      </c>
      <c r="U10" s="19">
        <f t="shared" si="16"/>
        <v>3.14253647586981</v>
      </c>
      <c r="V10" s="19">
        <f t="shared" si="17"/>
        <v>-0.478445365880372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907</v>
      </c>
      <c r="AJ10" s="47">
        <v>27864.981075</v>
      </c>
      <c r="AK10" s="47">
        <v>891</v>
      </c>
      <c r="AL10" s="47">
        <v>27875.701075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516</v>
      </c>
      <c r="D11" s="12">
        <v>12544.161814</v>
      </c>
      <c r="E11" s="12">
        <f t="shared" si="1"/>
        <v>15</v>
      </c>
      <c r="F11" s="12">
        <f t="shared" si="2"/>
        <v>73.4699999999993</v>
      </c>
      <c r="G11" s="12">
        <f t="shared" si="3"/>
        <v>25</v>
      </c>
      <c r="H11" s="12">
        <f t="shared" si="4"/>
        <v>402.689999999999</v>
      </c>
      <c r="I11" s="12">
        <f t="shared" si="5"/>
        <v>25</v>
      </c>
      <c r="J11" s="12">
        <f t="shared" si="6"/>
        <v>402.689999999999</v>
      </c>
      <c r="K11" s="12">
        <f t="shared" si="0"/>
        <v>-14</v>
      </c>
      <c r="L11" s="12">
        <f t="shared" si="7"/>
        <v>-533.970000000001</v>
      </c>
      <c r="M11" s="19">
        <f t="shared" si="8"/>
        <v>5.09164969450102</v>
      </c>
      <c r="N11" s="19">
        <f t="shared" si="9"/>
        <v>3.31664897113765</v>
      </c>
      <c r="O11" s="12">
        <f t="shared" si="10"/>
        <v>516</v>
      </c>
      <c r="P11" s="12">
        <f t="shared" si="11"/>
        <v>12544.161814</v>
      </c>
      <c r="Q11" s="12">
        <f t="shared" si="12"/>
        <v>25</v>
      </c>
      <c r="R11" s="12">
        <f t="shared" si="13"/>
        <v>402.689999999999</v>
      </c>
      <c r="S11" s="12">
        <f t="shared" si="14"/>
        <v>25</v>
      </c>
      <c r="T11" s="12">
        <f t="shared" si="15"/>
        <v>402.689999999999</v>
      </c>
      <c r="U11" s="19">
        <f t="shared" si="16"/>
        <v>5.09164969450102</v>
      </c>
      <c r="V11" s="19">
        <f t="shared" si="17"/>
        <v>3.31664897113765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501</v>
      </c>
      <c r="AJ11" s="47">
        <v>12470.691814</v>
      </c>
      <c r="AK11" s="47">
        <v>491</v>
      </c>
      <c r="AL11" s="47">
        <v>12141.471814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397</v>
      </c>
      <c r="D12" s="12">
        <v>14095.6516</v>
      </c>
      <c r="E12" s="12">
        <f t="shared" si="1"/>
        <v>12</v>
      </c>
      <c r="F12" s="12">
        <f t="shared" si="2"/>
        <v>392.67</v>
      </c>
      <c r="G12" s="12">
        <f t="shared" si="3"/>
        <v>39</v>
      </c>
      <c r="H12" s="12">
        <f t="shared" si="4"/>
        <v>720.405262999999</v>
      </c>
      <c r="I12" s="12">
        <f t="shared" si="5"/>
        <v>39</v>
      </c>
      <c r="J12" s="12">
        <f t="shared" si="6"/>
        <v>720.405262999999</v>
      </c>
      <c r="K12" s="12">
        <f t="shared" si="0"/>
        <v>-34</v>
      </c>
      <c r="L12" s="12">
        <f t="shared" si="7"/>
        <v>-773.594737000001</v>
      </c>
      <c r="M12" s="19">
        <f t="shared" si="8"/>
        <v>10.8938547486034</v>
      </c>
      <c r="N12" s="19">
        <f t="shared" si="9"/>
        <v>5.38610837399786</v>
      </c>
      <c r="O12" s="12">
        <f t="shared" si="10"/>
        <v>397</v>
      </c>
      <c r="P12" s="12">
        <f t="shared" si="11"/>
        <v>14095.6516</v>
      </c>
      <c r="Q12" s="12">
        <f t="shared" si="12"/>
        <v>39</v>
      </c>
      <c r="R12" s="12">
        <f t="shared" si="13"/>
        <v>720.405262999999</v>
      </c>
      <c r="S12" s="30">
        <f t="shared" si="14"/>
        <v>39</v>
      </c>
      <c r="T12" s="12">
        <f t="shared" si="15"/>
        <v>720.405262999999</v>
      </c>
      <c r="U12" s="19">
        <f t="shared" si="16"/>
        <v>10.8938547486034</v>
      </c>
      <c r="V12" s="19">
        <f t="shared" si="17"/>
        <v>5.38610837399786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385</v>
      </c>
      <c r="AJ12" s="47">
        <v>13702.9816</v>
      </c>
      <c r="AK12" s="47">
        <v>358</v>
      </c>
      <c r="AL12" s="47">
        <v>13375.246337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462</v>
      </c>
      <c r="D13" s="12">
        <v>12133.459215</v>
      </c>
      <c r="E13" s="12">
        <f t="shared" si="1"/>
        <v>-1</v>
      </c>
      <c r="F13" s="12">
        <f t="shared" si="2"/>
        <v>129.5</v>
      </c>
      <c r="G13" s="12">
        <f t="shared" si="3"/>
        <v>-7</v>
      </c>
      <c r="H13" s="12">
        <f t="shared" si="4"/>
        <v>96.1695990000007</v>
      </c>
      <c r="I13" s="12">
        <f t="shared" si="5"/>
        <v>-7</v>
      </c>
      <c r="J13" s="12">
        <f t="shared" si="6"/>
        <v>96.1695990000007</v>
      </c>
      <c r="K13" s="12">
        <f t="shared" ref="K9:K41" si="18">I13-AS13</f>
        <v>-10</v>
      </c>
      <c r="L13" s="12">
        <f t="shared" si="7"/>
        <v>-470.300401</v>
      </c>
      <c r="M13" s="19">
        <f t="shared" si="8"/>
        <v>-1.49253731343284</v>
      </c>
      <c r="N13" s="19">
        <f t="shared" si="9"/>
        <v>0.798930673497893</v>
      </c>
      <c r="O13" s="12">
        <f t="shared" si="10"/>
        <v>462</v>
      </c>
      <c r="P13" s="12">
        <f t="shared" si="11"/>
        <v>12133.459215</v>
      </c>
      <c r="Q13" s="12">
        <f t="shared" si="12"/>
        <v>-7</v>
      </c>
      <c r="R13" s="12">
        <f t="shared" si="13"/>
        <v>96.1695990000007</v>
      </c>
      <c r="S13" s="12">
        <f t="shared" si="14"/>
        <v>-7</v>
      </c>
      <c r="T13" s="12">
        <f t="shared" si="15"/>
        <v>96.1695990000007</v>
      </c>
      <c r="U13" s="19">
        <f t="shared" si="16"/>
        <v>-1.49253731343284</v>
      </c>
      <c r="V13" s="19">
        <f t="shared" si="17"/>
        <v>0.798930673497893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463</v>
      </c>
      <c r="AJ13" s="47">
        <v>12003.959215</v>
      </c>
      <c r="AK13" s="47">
        <v>469</v>
      </c>
      <c r="AL13" s="47">
        <v>12037.289616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350</v>
      </c>
      <c r="D14" s="12">
        <v>11004.021048</v>
      </c>
      <c r="E14" s="12">
        <f t="shared" si="1"/>
        <v>0</v>
      </c>
      <c r="F14" s="12">
        <f t="shared" si="2"/>
        <v>-7.94999999999891</v>
      </c>
      <c r="G14" s="12">
        <f t="shared" si="3"/>
        <v>2</v>
      </c>
      <c r="H14" s="12">
        <f t="shared" si="4"/>
        <v>424.33</v>
      </c>
      <c r="I14" s="12">
        <f t="shared" si="5"/>
        <v>2</v>
      </c>
      <c r="J14" s="12">
        <f t="shared" si="6"/>
        <v>424.33</v>
      </c>
      <c r="K14" s="12">
        <f t="shared" si="18"/>
        <v>-74</v>
      </c>
      <c r="L14" s="12">
        <f t="shared" si="7"/>
        <v>-492.969999999999</v>
      </c>
      <c r="M14" s="19">
        <f t="shared" si="8"/>
        <v>0.574712643678161</v>
      </c>
      <c r="N14" s="19">
        <f t="shared" si="9"/>
        <v>4.01079765065744</v>
      </c>
      <c r="O14" s="12">
        <f t="shared" si="10"/>
        <v>350</v>
      </c>
      <c r="P14" s="12">
        <f t="shared" si="11"/>
        <v>11004.021048</v>
      </c>
      <c r="Q14" s="12">
        <f t="shared" si="12"/>
        <v>2</v>
      </c>
      <c r="R14" s="12">
        <f t="shared" si="13"/>
        <v>424.33</v>
      </c>
      <c r="S14" s="12">
        <f t="shared" si="14"/>
        <v>2</v>
      </c>
      <c r="T14" s="12">
        <f t="shared" si="15"/>
        <v>424.33</v>
      </c>
      <c r="U14" s="19">
        <f t="shared" si="16"/>
        <v>0.574712643678161</v>
      </c>
      <c r="V14" s="19">
        <f t="shared" si="17"/>
        <v>4.01079765065744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350</v>
      </c>
      <c r="AJ14" s="47">
        <v>11011.971048</v>
      </c>
      <c r="AK14" s="47">
        <v>348</v>
      </c>
      <c r="AL14" s="47">
        <v>10579.691048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671</v>
      </c>
      <c r="D15" s="12">
        <v>17614.840404</v>
      </c>
      <c r="E15" s="12">
        <f t="shared" si="1"/>
        <v>0</v>
      </c>
      <c r="F15" s="12">
        <f t="shared" si="2"/>
        <v>65.3077319999975</v>
      </c>
      <c r="G15" s="12">
        <f t="shared" si="3"/>
        <v>17</v>
      </c>
      <c r="H15" s="12">
        <f t="shared" si="4"/>
        <v>73.5036579999978</v>
      </c>
      <c r="I15" s="12">
        <f t="shared" si="5"/>
        <v>17</v>
      </c>
      <c r="J15" s="12">
        <f t="shared" si="6"/>
        <v>73.5036579999978</v>
      </c>
      <c r="K15" s="12">
        <f t="shared" si="18"/>
        <v>-93</v>
      </c>
      <c r="L15" s="12">
        <f t="shared" si="7"/>
        <v>-1386.346342</v>
      </c>
      <c r="M15" s="19">
        <f t="shared" si="8"/>
        <v>2.59938837920489</v>
      </c>
      <c r="N15" s="19">
        <f t="shared" si="9"/>
        <v>0.419031109568996</v>
      </c>
      <c r="O15" s="12">
        <f t="shared" si="10"/>
        <v>671</v>
      </c>
      <c r="P15" s="12">
        <f t="shared" si="11"/>
        <v>17614.840404</v>
      </c>
      <c r="Q15" s="12">
        <f t="shared" si="12"/>
        <v>17</v>
      </c>
      <c r="R15" s="12">
        <f t="shared" si="13"/>
        <v>73.5036579999978</v>
      </c>
      <c r="S15" s="12">
        <f t="shared" si="14"/>
        <v>17</v>
      </c>
      <c r="T15" s="12">
        <f t="shared" si="15"/>
        <v>73.5036579999978</v>
      </c>
      <c r="U15" s="19">
        <f t="shared" si="16"/>
        <v>2.59938837920489</v>
      </c>
      <c r="V15" s="19">
        <f t="shared" si="17"/>
        <v>0.419031109568996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671</v>
      </c>
      <c r="AJ15" s="47">
        <v>17549.532672</v>
      </c>
      <c r="AK15" s="47">
        <v>654</v>
      </c>
      <c r="AL15" s="47">
        <v>17541.336746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697</v>
      </c>
      <c r="D16" s="12">
        <v>22470.724625</v>
      </c>
      <c r="E16" s="12">
        <f t="shared" si="1"/>
        <v>1</v>
      </c>
      <c r="F16" s="12">
        <f t="shared" si="2"/>
        <v>169.288888999999</v>
      </c>
      <c r="G16" s="12">
        <f t="shared" si="3"/>
        <v>-6</v>
      </c>
      <c r="H16" s="12">
        <f t="shared" si="4"/>
        <v>-430.002338000002</v>
      </c>
      <c r="I16" s="12">
        <f t="shared" si="5"/>
        <v>-6</v>
      </c>
      <c r="J16" s="12">
        <f t="shared" si="6"/>
        <v>-430.002338000002</v>
      </c>
      <c r="K16" s="12">
        <f t="shared" si="18"/>
        <v>-69</v>
      </c>
      <c r="L16" s="12">
        <f t="shared" si="7"/>
        <v>-1217.962338</v>
      </c>
      <c r="M16" s="19">
        <f t="shared" si="8"/>
        <v>-0.85348506401138</v>
      </c>
      <c r="N16" s="19">
        <f t="shared" si="9"/>
        <v>-1.87767986009677</v>
      </c>
      <c r="O16" s="12">
        <f t="shared" si="10"/>
        <v>697</v>
      </c>
      <c r="P16" s="12">
        <f t="shared" si="11"/>
        <v>22470.724625</v>
      </c>
      <c r="Q16" s="12">
        <f t="shared" si="12"/>
        <v>-6</v>
      </c>
      <c r="R16" s="12">
        <f t="shared" si="13"/>
        <v>-430.002338000002</v>
      </c>
      <c r="S16" s="12">
        <f t="shared" si="14"/>
        <v>-6</v>
      </c>
      <c r="T16" s="12">
        <f t="shared" si="15"/>
        <v>-430.002338000002</v>
      </c>
      <c r="U16" s="19">
        <f t="shared" si="16"/>
        <v>-0.85348506401138</v>
      </c>
      <c r="V16" s="19">
        <f t="shared" si="17"/>
        <v>-1.87767986009677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696</v>
      </c>
      <c r="AJ16" s="47">
        <v>22301.435736</v>
      </c>
      <c r="AK16" s="47">
        <v>703</v>
      </c>
      <c r="AL16" s="47">
        <v>22900.726963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595</v>
      </c>
      <c r="D17" s="12">
        <v>18259.725156</v>
      </c>
      <c r="E17" s="12">
        <f t="shared" si="1"/>
        <v>-2</v>
      </c>
      <c r="F17" s="12">
        <f t="shared" si="2"/>
        <v>-40.7999999999993</v>
      </c>
      <c r="G17" s="12">
        <f t="shared" si="3"/>
        <v>-4</v>
      </c>
      <c r="H17" s="12">
        <f t="shared" si="4"/>
        <v>-170.295720999999</v>
      </c>
      <c r="I17" s="12">
        <f t="shared" si="5"/>
        <v>-4</v>
      </c>
      <c r="J17" s="12">
        <f t="shared" si="6"/>
        <v>-170.295720999999</v>
      </c>
      <c r="K17" s="12">
        <f t="shared" si="18"/>
        <v>-12</v>
      </c>
      <c r="L17" s="12">
        <f t="shared" si="7"/>
        <v>-900.005720999998</v>
      </c>
      <c r="M17" s="19">
        <f t="shared" si="8"/>
        <v>-0.667779632721202</v>
      </c>
      <c r="N17" s="19">
        <f t="shared" si="9"/>
        <v>-0.924012632088342</v>
      </c>
      <c r="O17" s="12">
        <f t="shared" si="10"/>
        <v>595</v>
      </c>
      <c r="P17" s="12">
        <f t="shared" si="11"/>
        <v>18259.725156</v>
      </c>
      <c r="Q17" s="12">
        <f t="shared" si="12"/>
        <v>-4</v>
      </c>
      <c r="R17" s="12">
        <f t="shared" si="13"/>
        <v>-170.295720999999</v>
      </c>
      <c r="S17" s="30">
        <f t="shared" si="14"/>
        <v>-4</v>
      </c>
      <c r="T17" s="12">
        <f t="shared" si="15"/>
        <v>-170.295720999999</v>
      </c>
      <c r="U17" s="19">
        <f t="shared" si="16"/>
        <v>-0.667779632721202</v>
      </c>
      <c r="V17" s="19">
        <f t="shared" si="17"/>
        <v>-0.924012632088342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597</v>
      </c>
      <c r="AJ17" s="47">
        <v>18300.525156</v>
      </c>
      <c r="AK17" s="47">
        <v>599</v>
      </c>
      <c r="AL17" s="47">
        <v>18430.020877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479</v>
      </c>
      <c r="D18" s="12">
        <v>18758.924584</v>
      </c>
      <c r="E18" s="12">
        <f t="shared" si="1"/>
        <v>1</v>
      </c>
      <c r="F18" s="12">
        <f t="shared" si="2"/>
        <v>-70.4000000000015</v>
      </c>
      <c r="G18" s="12">
        <f t="shared" si="3"/>
        <v>-3</v>
      </c>
      <c r="H18" s="12">
        <f t="shared" si="4"/>
        <v>-798.538816</v>
      </c>
      <c r="I18" s="12">
        <f t="shared" si="5"/>
        <v>-3</v>
      </c>
      <c r="J18" s="12">
        <f t="shared" si="6"/>
        <v>-798.538816</v>
      </c>
      <c r="K18" s="12">
        <f t="shared" si="18"/>
        <v>-14</v>
      </c>
      <c r="L18" s="12">
        <f t="shared" si="7"/>
        <v>-2110.008816</v>
      </c>
      <c r="M18" s="19">
        <f t="shared" si="8"/>
        <v>-0.622406639004149</v>
      </c>
      <c r="N18" s="19">
        <f t="shared" si="9"/>
        <v>-4.08303878508089</v>
      </c>
      <c r="O18" s="12">
        <f t="shared" si="10"/>
        <v>479</v>
      </c>
      <c r="P18" s="12">
        <f t="shared" si="11"/>
        <v>18758.924584</v>
      </c>
      <c r="Q18" s="12">
        <f t="shared" si="12"/>
        <v>-3</v>
      </c>
      <c r="R18" s="12">
        <f t="shared" si="13"/>
        <v>-798.538816</v>
      </c>
      <c r="S18" s="12">
        <f t="shared" si="14"/>
        <v>-3</v>
      </c>
      <c r="T18" s="12">
        <f t="shared" si="15"/>
        <v>-798.538816</v>
      </c>
      <c r="U18" s="19">
        <f t="shared" si="16"/>
        <v>-0.622406639004149</v>
      </c>
      <c r="V18" s="19">
        <f t="shared" si="17"/>
        <v>-4.08303878508089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478</v>
      </c>
      <c r="AJ18" s="47">
        <v>18829.324584</v>
      </c>
      <c r="AK18" s="47">
        <v>482</v>
      </c>
      <c r="AL18" s="47">
        <v>19557.4634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435</v>
      </c>
      <c r="D19" s="12">
        <v>15314.145372</v>
      </c>
      <c r="E19" s="12">
        <f t="shared" si="1"/>
        <v>1</v>
      </c>
      <c r="F19" s="12">
        <f t="shared" si="2"/>
        <v>133.899000000001</v>
      </c>
      <c r="G19" s="12">
        <f t="shared" si="3"/>
        <v>3</v>
      </c>
      <c r="H19" s="12">
        <f t="shared" si="4"/>
        <v>683.799000000001</v>
      </c>
      <c r="I19" s="12">
        <f t="shared" si="5"/>
        <v>3</v>
      </c>
      <c r="J19" s="12">
        <f t="shared" si="6"/>
        <v>683.799000000001</v>
      </c>
      <c r="K19" s="12">
        <f t="shared" si="18"/>
        <v>-29</v>
      </c>
      <c r="L19" s="12">
        <f t="shared" si="7"/>
        <v>-119.180999999999</v>
      </c>
      <c r="M19" s="19">
        <f t="shared" si="8"/>
        <v>0.694444444444444</v>
      </c>
      <c r="N19" s="19">
        <f t="shared" si="9"/>
        <v>4.67384013073454</v>
      </c>
      <c r="O19" s="12">
        <f t="shared" si="10"/>
        <v>435</v>
      </c>
      <c r="P19" s="12">
        <f t="shared" si="11"/>
        <v>15314.145372</v>
      </c>
      <c r="Q19" s="12">
        <f t="shared" si="12"/>
        <v>3</v>
      </c>
      <c r="R19" s="12">
        <f t="shared" si="13"/>
        <v>683.799000000001</v>
      </c>
      <c r="S19" s="12">
        <f t="shared" si="14"/>
        <v>3</v>
      </c>
      <c r="T19" s="12">
        <f t="shared" si="15"/>
        <v>683.799000000001</v>
      </c>
      <c r="U19" s="19">
        <f t="shared" si="16"/>
        <v>0.694444444444444</v>
      </c>
      <c r="V19" s="19">
        <f t="shared" si="17"/>
        <v>4.67384013073454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434</v>
      </c>
      <c r="AJ19" s="47">
        <v>15180.246372</v>
      </c>
      <c r="AK19" s="47">
        <v>432</v>
      </c>
      <c r="AL19" s="47">
        <v>14630.346372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638</v>
      </c>
      <c r="D20" s="12">
        <v>18743.357604</v>
      </c>
      <c r="E20" s="12">
        <f t="shared" si="1"/>
        <v>12</v>
      </c>
      <c r="F20" s="12">
        <f t="shared" si="2"/>
        <v>67.8400000000001</v>
      </c>
      <c r="G20" s="12">
        <f t="shared" si="3"/>
        <v>27</v>
      </c>
      <c r="H20" s="12">
        <f t="shared" si="4"/>
        <v>724.639999999999</v>
      </c>
      <c r="I20" s="12">
        <f t="shared" si="5"/>
        <v>27</v>
      </c>
      <c r="J20" s="12">
        <f t="shared" si="6"/>
        <v>724.639999999999</v>
      </c>
      <c r="K20" s="12">
        <f t="shared" si="18"/>
        <v>-54</v>
      </c>
      <c r="L20" s="12">
        <f t="shared" si="7"/>
        <v>-1492.01</v>
      </c>
      <c r="M20" s="19">
        <f t="shared" si="8"/>
        <v>4.4189852700491</v>
      </c>
      <c r="N20" s="19">
        <f t="shared" si="9"/>
        <v>4.02159585340932</v>
      </c>
      <c r="O20" s="12">
        <f t="shared" si="10"/>
        <v>638</v>
      </c>
      <c r="P20" s="12">
        <f t="shared" si="11"/>
        <v>18743.357604</v>
      </c>
      <c r="Q20" s="12">
        <f t="shared" si="12"/>
        <v>27</v>
      </c>
      <c r="R20" s="12">
        <f t="shared" si="13"/>
        <v>724.639999999999</v>
      </c>
      <c r="S20" s="12">
        <f t="shared" si="14"/>
        <v>27</v>
      </c>
      <c r="T20" s="12">
        <f t="shared" si="15"/>
        <v>724.639999999999</v>
      </c>
      <c r="U20" s="19">
        <f t="shared" si="16"/>
        <v>4.4189852700491</v>
      </c>
      <c r="V20" s="19">
        <f t="shared" si="17"/>
        <v>4.02159585340932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626</v>
      </c>
      <c r="AJ20" s="47">
        <v>18675.517604</v>
      </c>
      <c r="AK20" s="47">
        <v>611</v>
      </c>
      <c r="AL20" s="47">
        <v>18018.717604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445</v>
      </c>
      <c r="D21" s="12">
        <v>15191.395663</v>
      </c>
      <c r="E21" s="12">
        <f t="shared" si="1"/>
        <v>4</v>
      </c>
      <c r="F21" s="12">
        <f t="shared" si="2"/>
        <v>282.812</v>
      </c>
      <c r="G21" s="12">
        <f t="shared" si="3"/>
        <v>7</v>
      </c>
      <c r="H21" s="12">
        <f t="shared" si="4"/>
        <v>-233.06861</v>
      </c>
      <c r="I21" s="12">
        <f t="shared" si="5"/>
        <v>7</v>
      </c>
      <c r="J21" s="12">
        <f t="shared" si="6"/>
        <v>-233.06861</v>
      </c>
      <c r="K21" s="12">
        <f t="shared" si="18"/>
        <v>-50</v>
      </c>
      <c r="L21" s="12">
        <f t="shared" si="7"/>
        <v>-1242.96861</v>
      </c>
      <c r="M21" s="19">
        <f t="shared" si="8"/>
        <v>1.59817351598174</v>
      </c>
      <c r="N21" s="19">
        <f t="shared" si="9"/>
        <v>-1.51103212322245</v>
      </c>
      <c r="O21" s="12">
        <f t="shared" si="10"/>
        <v>445</v>
      </c>
      <c r="P21" s="12">
        <f t="shared" si="11"/>
        <v>15191.395663</v>
      </c>
      <c r="Q21" s="12">
        <f t="shared" si="12"/>
        <v>7</v>
      </c>
      <c r="R21" s="12">
        <f t="shared" si="13"/>
        <v>-233.06861</v>
      </c>
      <c r="S21" s="30">
        <f t="shared" si="14"/>
        <v>7</v>
      </c>
      <c r="T21" s="12">
        <f t="shared" si="15"/>
        <v>-233.06861</v>
      </c>
      <c r="U21" s="19">
        <f t="shared" si="16"/>
        <v>1.59817351598174</v>
      </c>
      <c r="V21" s="19">
        <f t="shared" si="17"/>
        <v>-1.51103212322245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441</v>
      </c>
      <c r="AJ21" s="47">
        <v>14908.583663</v>
      </c>
      <c r="AK21" s="47">
        <v>438</v>
      </c>
      <c r="AL21" s="47">
        <v>15424.464273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718</v>
      </c>
      <c r="D22" s="12">
        <v>24913.086119</v>
      </c>
      <c r="E22" s="12">
        <f t="shared" si="1"/>
        <v>23</v>
      </c>
      <c r="F22" s="12">
        <f t="shared" si="2"/>
        <v>491.667150999998</v>
      </c>
      <c r="G22" s="12">
        <f t="shared" si="3"/>
        <v>44</v>
      </c>
      <c r="H22" s="12">
        <f t="shared" si="4"/>
        <v>1568.517151</v>
      </c>
      <c r="I22" s="12">
        <f t="shared" si="5"/>
        <v>44</v>
      </c>
      <c r="J22" s="12">
        <f t="shared" si="6"/>
        <v>1568.517151</v>
      </c>
      <c r="K22" s="12">
        <f t="shared" si="18"/>
        <v>-18</v>
      </c>
      <c r="L22" s="12">
        <f t="shared" si="7"/>
        <v>289.597151</v>
      </c>
      <c r="M22" s="19">
        <f t="shared" si="8"/>
        <v>6.52818991097923</v>
      </c>
      <c r="N22" s="19">
        <f t="shared" si="9"/>
        <v>6.71898098932593</v>
      </c>
      <c r="O22" s="12">
        <f t="shared" si="10"/>
        <v>718</v>
      </c>
      <c r="P22" s="12">
        <f t="shared" si="11"/>
        <v>24913.086119</v>
      </c>
      <c r="Q22" s="12">
        <f t="shared" si="12"/>
        <v>44</v>
      </c>
      <c r="R22" s="12">
        <f t="shared" si="13"/>
        <v>1568.517151</v>
      </c>
      <c r="S22" s="12">
        <f t="shared" si="14"/>
        <v>44</v>
      </c>
      <c r="T22" s="12">
        <f t="shared" si="15"/>
        <v>1568.517151</v>
      </c>
      <c r="U22" s="19">
        <f t="shared" si="16"/>
        <v>6.52818991097923</v>
      </c>
      <c r="V22" s="19">
        <f t="shared" si="17"/>
        <v>6.71898098932593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695</v>
      </c>
      <c r="AJ22" s="47">
        <v>24421.418968</v>
      </c>
      <c r="AK22" s="47">
        <v>674</v>
      </c>
      <c r="AL22" s="47">
        <v>23344.568968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694</v>
      </c>
      <c r="D23" s="12">
        <v>25537.288586</v>
      </c>
      <c r="E23" s="12">
        <f t="shared" si="1"/>
        <v>-5</v>
      </c>
      <c r="F23" s="12">
        <f t="shared" si="2"/>
        <v>-65.7000000000007</v>
      </c>
      <c r="G23" s="12">
        <f t="shared" si="3"/>
        <v>-6</v>
      </c>
      <c r="H23" s="12">
        <f t="shared" si="4"/>
        <v>-482.900000000001</v>
      </c>
      <c r="I23" s="12">
        <f t="shared" si="5"/>
        <v>-6</v>
      </c>
      <c r="J23" s="12">
        <f t="shared" si="6"/>
        <v>-482.900000000001</v>
      </c>
      <c r="K23" s="12">
        <f t="shared" si="18"/>
        <v>-48</v>
      </c>
      <c r="L23" s="12">
        <f t="shared" si="7"/>
        <v>-1011.31</v>
      </c>
      <c r="M23" s="19">
        <f t="shared" si="8"/>
        <v>-0.857142857142857</v>
      </c>
      <c r="N23" s="19">
        <f t="shared" si="9"/>
        <v>-1.85586664141175</v>
      </c>
      <c r="O23" s="12">
        <f t="shared" si="10"/>
        <v>694</v>
      </c>
      <c r="P23" s="12">
        <f t="shared" si="11"/>
        <v>25537.288586</v>
      </c>
      <c r="Q23" s="12">
        <f t="shared" si="12"/>
        <v>-6</v>
      </c>
      <c r="R23" s="12">
        <f t="shared" si="13"/>
        <v>-482.900000000001</v>
      </c>
      <c r="S23" s="12">
        <f t="shared" si="14"/>
        <v>-6</v>
      </c>
      <c r="T23" s="12">
        <f t="shared" si="15"/>
        <v>-482.900000000001</v>
      </c>
      <c r="U23" s="19">
        <f t="shared" si="16"/>
        <v>-0.857142857142857</v>
      </c>
      <c r="V23" s="19">
        <f t="shared" si="17"/>
        <v>-1.85586664141175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699</v>
      </c>
      <c r="AJ23" s="47">
        <v>25602.988586</v>
      </c>
      <c r="AK23" s="47">
        <v>700</v>
      </c>
      <c r="AL23" s="47">
        <v>26020.188586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486</v>
      </c>
      <c r="D24" s="12">
        <v>15564.72</v>
      </c>
      <c r="E24" s="12">
        <f t="shared" si="1"/>
        <v>4</v>
      </c>
      <c r="F24" s="12">
        <f t="shared" si="2"/>
        <v>188.359999999999</v>
      </c>
      <c r="G24" s="12">
        <f t="shared" si="3"/>
        <v>15</v>
      </c>
      <c r="H24" s="12">
        <f t="shared" si="4"/>
        <v>976.32</v>
      </c>
      <c r="I24" s="12">
        <f t="shared" si="5"/>
        <v>15</v>
      </c>
      <c r="J24" s="12">
        <f t="shared" si="6"/>
        <v>976.32</v>
      </c>
      <c r="K24" s="12">
        <f t="shared" si="18"/>
        <v>-36</v>
      </c>
      <c r="L24" s="12">
        <f t="shared" si="7"/>
        <v>158.33</v>
      </c>
      <c r="M24" s="19">
        <f t="shared" si="8"/>
        <v>3.18471337579618</v>
      </c>
      <c r="N24" s="19">
        <f t="shared" si="9"/>
        <v>6.69244056921938</v>
      </c>
      <c r="O24" s="12">
        <f t="shared" si="10"/>
        <v>486</v>
      </c>
      <c r="P24" s="12">
        <f t="shared" si="11"/>
        <v>15564.72</v>
      </c>
      <c r="Q24" s="12">
        <f t="shared" si="12"/>
        <v>15</v>
      </c>
      <c r="R24" s="12">
        <f t="shared" si="13"/>
        <v>976.32</v>
      </c>
      <c r="S24" s="30">
        <f t="shared" si="14"/>
        <v>15</v>
      </c>
      <c r="T24" s="12">
        <f t="shared" si="15"/>
        <v>976.32</v>
      </c>
      <c r="U24" s="19">
        <f t="shared" si="16"/>
        <v>3.18471337579618</v>
      </c>
      <c r="V24" s="19">
        <f t="shared" si="17"/>
        <v>6.69244056921938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15376.36</v>
      </c>
      <c r="AK24" s="47">
        <v>471</v>
      </c>
      <c r="AL24" s="47">
        <v>14588.4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480</v>
      </c>
      <c r="D25" s="12">
        <v>15537.167831</v>
      </c>
      <c r="E25" s="12">
        <f t="shared" si="1"/>
        <v>6</v>
      </c>
      <c r="F25" s="12">
        <f t="shared" si="2"/>
        <v>5.7248150000014</v>
      </c>
      <c r="G25" s="12">
        <f t="shared" si="3"/>
        <v>-2</v>
      </c>
      <c r="H25" s="12">
        <f t="shared" si="4"/>
        <v>-589.709185</v>
      </c>
      <c r="I25" s="12">
        <f t="shared" si="5"/>
        <v>-2</v>
      </c>
      <c r="J25" s="12">
        <f t="shared" si="6"/>
        <v>-589.709185</v>
      </c>
      <c r="K25" s="12">
        <f t="shared" si="18"/>
        <v>-27</v>
      </c>
      <c r="L25" s="12">
        <f t="shared" si="7"/>
        <v>-1470.889185</v>
      </c>
      <c r="M25" s="19">
        <f t="shared" si="8"/>
        <v>-0.4149377593361</v>
      </c>
      <c r="N25" s="19">
        <f t="shared" si="9"/>
        <v>-3.65668557163876</v>
      </c>
      <c r="O25" s="12">
        <f t="shared" si="10"/>
        <v>480</v>
      </c>
      <c r="P25" s="12">
        <f t="shared" si="11"/>
        <v>15537.167831</v>
      </c>
      <c r="Q25" s="12">
        <f t="shared" si="12"/>
        <v>-2</v>
      </c>
      <c r="R25" s="12">
        <f t="shared" si="13"/>
        <v>-589.709185</v>
      </c>
      <c r="S25" s="12">
        <f t="shared" si="14"/>
        <v>-2</v>
      </c>
      <c r="T25" s="12">
        <f t="shared" si="15"/>
        <v>-589.709185</v>
      </c>
      <c r="U25" s="19">
        <f t="shared" si="16"/>
        <v>-0.4149377593361</v>
      </c>
      <c r="V25" s="19">
        <f t="shared" si="17"/>
        <v>-3.65668557163876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474</v>
      </c>
      <c r="AJ25" s="47">
        <v>15531.443016</v>
      </c>
      <c r="AK25" s="47">
        <v>482</v>
      </c>
      <c r="AL25" s="47">
        <v>16126.877016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270</v>
      </c>
      <c r="D26" s="12">
        <v>10504.250063</v>
      </c>
      <c r="E26" s="12">
        <f t="shared" si="1"/>
        <v>-2</v>
      </c>
      <c r="F26" s="12">
        <f t="shared" si="2"/>
        <v>49</v>
      </c>
      <c r="G26" s="12">
        <f t="shared" si="3"/>
        <v>-7</v>
      </c>
      <c r="H26" s="12">
        <f t="shared" si="4"/>
        <v>-318.175492</v>
      </c>
      <c r="I26" s="12">
        <f t="shared" si="5"/>
        <v>-7</v>
      </c>
      <c r="J26" s="12">
        <f t="shared" si="6"/>
        <v>-318.175492</v>
      </c>
      <c r="K26" s="12">
        <f t="shared" si="18"/>
        <v>-27</v>
      </c>
      <c r="L26" s="12">
        <f t="shared" si="7"/>
        <v>-1022.185492</v>
      </c>
      <c r="M26" s="19">
        <f t="shared" si="8"/>
        <v>-2.52707581227437</v>
      </c>
      <c r="N26" s="19">
        <f t="shared" si="9"/>
        <v>-2.93996470923288</v>
      </c>
      <c r="O26" s="12">
        <f t="shared" si="10"/>
        <v>270</v>
      </c>
      <c r="P26" s="12">
        <f t="shared" si="11"/>
        <v>10504.250063</v>
      </c>
      <c r="Q26" s="12">
        <f t="shared" si="12"/>
        <v>-7</v>
      </c>
      <c r="R26" s="12">
        <f t="shared" si="13"/>
        <v>-318.175492</v>
      </c>
      <c r="S26" s="12">
        <f t="shared" si="14"/>
        <v>-7</v>
      </c>
      <c r="T26" s="12">
        <f t="shared" si="15"/>
        <v>-318.175492</v>
      </c>
      <c r="U26" s="19">
        <f t="shared" si="16"/>
        <v>-2.52707581227437</v>
      </c>
      <c r="V26" s="19">
        <f t="shared" si="17"/>
        <v>-2.93996470923288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272</v>
      </c>
      <c r="AJ26" s="47">
        <v>10455.250063</v>
      </c>
      <c r="AK26" s="47">
        <v>277</v>
      </c>
      <c r="AL26" s="47">
        <v>10822.425555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345</v>
      </c>
      <c r="D27" s="12">
        <v>11264.49496</v>
      </c>
      <c r="E27" s="12">
        <f t="shared" si="1"/>
        <v>3</v>
      </c>
      <c r="F27" s="12">
        <f t="shared" si="2"/>
        <v>-60.1900000000005</v>
      </c>
      <c r="G27" s="12">
        <f t="shared" si="3"/>
        <v>17</v>
      </c>
      <c r="H27" s="12">
        <f t="shared" si="4"/>
        <v>-153.969999999999</v>
      </c>
      <c r="I27" s="12">
        <f t="shared" si="5"/>
        <v>17</v>
      </c>
      <c r="J27" s="12">
        <f t="shared" si="6"/>
        <v>-153.969999999999</v>
      </c>
      <c r="K27" s="12">
        <f t="shared" si="18"/>
        <v>-15</v>
      </c>
      <c r="L27" s="12">
        <f t="shared" si="7"/>
        <v>-778.239999999999</v>
      </c>
      <c r="M27" s="19">
        <f t="shared" si="8"/>
        <v>5.18292682926829</v>
      </c>
      <c r="N27" s="19">
        <f t="shared" si="9"/>
        <v>-1.3484299381692</v>
      </c>
      <c r="O27" s="12">
        <f t="shared" si="10"/>
        <v>345</v>
      </c>
      <c r="P27" s="12">
        <f t="shared" si="11"/>
        <v>11264.49496</v>
      </c>
      <c r="Q27" s="12">
        <f t="shared" si="12"/>
        <v>17</v>
      </c>
      <c r="R27" s="12">
        <f t="shared" si="13"/>
        <v>-153.969999999999</v>
      </c>
      <c r="S27" s="12">
        <f t="shared" si="14"/>
        <v>17</v>
      </c>
      <c r="T27" s="12">
        <f t="shared" si="15"/>
        <v>-153.969999999999</v>
      </c>
      <c r="U27" s="19">
        <f t="shared" si="16"/>
        <v>5.18292682926829</v>
      </c>
      <c r="V27" s="19">
        <f t="shared" si="17"/>
        <v>-1.3484299381692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342</v>
      </c>
      <c r="AJ27" s="47">
        <v>11324.68496</v>
      </c>
      <c r="AK27" s="47">
        <v>328</v>
      </c>
      <c r="AL27" s="47">
        <v>11418.46496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397</v>
      </c>
      <c r="D28" s="12">
        <v>19571.145217</v>
      </c>
      <c r="E28" s="12">
        <f t="shared" si="1"/>
        <v>17</v>
      </c>
      <c r="F28" s="12">
        <f t="shared" si="2"/>
        <v>-49.7367789999989</v>
      </c>
      <c r="G28" s="12">
        <f t="shared" si="3"/>
        <v>35</v>
      </c>
      <c r="H28" s="12">
        <f t="shared" si="4"/>
        <v>-480.665822999999</v>
      </c>
      <c r="I28" s="12">
        <f t="shared" si="5"/>
        <v>35</v>
      </c>
      <c r="J28" s="12">
        <f t="shared" si="6"/>
        <v>-480.665822999999</v>
      </c>
      <c r="K28" s="12">
        <f t="shared" si="18"/>
        <v>-5</v>
      </c>
      <c r="L28" s="12">
        <f t="shared" si="7"/>
        <v>-1361.395823</v>
      </c>
      <c r="M28" s="19">
        <f t="shared" si="8"/>
        <v>9.66850828729282</v>
      </c>
      <c r="N28" s="19">
        <f t="shared" si="9"/>
        <v>-2.39711925292509</v>
      </c>
      <c r="O28" s="12">
        <f t="shared" si="10"/>
        <v>397</v>
      </c>
      <c r="P28" s="12">
        <f t="shared" si="11"/>
        <v>19571.145217</v>
      </c>
      <c r="Q28" s="12">
        <f t="shared" si="12"/>
        <v>35</v>
      </c>
      <c r="R28" s="12">
        <f t="shared" si="13"/>
        <v>-480.665822999999</v>
      </c>
      <c r="S28" s="12">
        <f t="shared" si="14"/>
        <v>35</v>
      </c>
      <c r="T28" s="12">
        <f t="shared" si="15"/>
        <v>-480.665822999999</v>
      </c>
      <c r="U28" s="19">
        <f t="shared" si="16"/>
        <v>9.66850828729282</v>
      </c>
      <c r="V28" s="19">
        <f t="shared" si="17"/>
        <v>-2.39711925292509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380</v>
      </c>
      <c r="AJ28" s="47">
        <v>19620.881996</v>
      </c>
      <c r="AK28" s="47">
        <v>362</v>
      </c>
      <c r="AL28" s="47">
        <v>20051.81104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324</v>
      </c>
      <c r="D29" s="12">
        <v>11405.758315</v>
      </c>
      <c r="E29" s="12">
        <f t="shared" si="1"/>
        <v>-1</v>
      </c>
      <c r="F29" s="12">
        <f t="shared" si="2"/>
        <v>-69.8000000000011</v>
      </c>
      <c r="G29" s="12">
        <f t="shared" si="3"/>
        <v>-4</v>
      </c>
      <c r="H29" s="12">
        <f t="shared" si="4"/>
        <v>-588.904293000001</v>
      </c>
      <c r="I29" s="12">
        <f t="shared" si="5"/>
        <v>-4</v>
      </c>
      <c r="J29" s="12">
        <f t="shared" si="6"/>
        <v>-588.904293000001</v>
      </c>
      <c r="K29" s="12">
        <f t="shared" si="18"/>
        <v>-39</v>
      </c>
      <c r="L29" s="12">
        <f t="shared" si="7"/>
        <v>-1136.614293</v>
      </c>
      <c r="M29" s="19">
        <f t="shared" si="8"/>
        <v>-1.21951219512195</v>
      </c>
      <c r="N29" s="19">
        <f t="shared" si="9"/>
        <v>-4.90971953314655</v>
      </c>
      <c r="O29" s="12">
        <f t="shared" si="10"/>
        <v>324</v>
      </c>
      <c r="P29" s="12">
        <f t="shared" si="11"/>
        <v>11405.758315</v>
      </c>
      <c r="Q29" s="12">
        <f t="shared" si="12"/>
        <v>-4</v>
      </c>
      <c r="R29" s="12">
        <f t="shared" si="13"/>
        <v>-588.904293000001</v>
      </c>
      <c r="S29" s="12">
        <f t="shared" si="14"/>
        <v>-4</v>
      </c>
      <c r="T29" s="12">
        <f t="shared" si="15"/>
        <v>-588.904293000001</v>
      </c>
      <c r="U29" s="19">
        <f t="shared" si="16"/>
        <v>-1.21951219512195</v>
      </c>
      <c r="V29" s="19">
        <f t="shared" si="17"/>
        <v>-4.90971953314655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325</v>
      </c>
      <c r="AJ29" s="47">
        <v>11475.558315</v>
      </c>
      <c r="AK29" s="47">
        <v>328</v>
      </c>
      <c r="AL29" s="47">
        <v>11994.662608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354</v>
      </c>
      <c r="D30" s="12">
        <v>9576.29815</v>
      </c>
      <c r="E30" s="12">
        <f t="shared" si="1"/>
        <v>21</v>
      </c>
      <c r="F30" s="12">
        <f t="shared" si="2"/>
        <v>361.59</v>
      </c>
      <c r="G30" s="12">
        <f t="shared" si="3"/>
        <v>31</v>
      </c>
      <c r="H30" s="12">
        <f t="shared" si="4"/>
        <v>457.060000000001</v>
      </c>
      <c r="I30" s="12">
        <f t="shared" si="5"/>
        <v>31</v>
      </c>
      <c r="J30" s="12">
        <f t="shared" si="6"/>
        <v>457.060000000001</v>
      </c>
      <c r="K30" s="12">
        <f t="shared" si="18"/>
        <v>-64</v>
      </c>
      <c r="L30" s="12">
        <f t="shared" si="7"/>
        <v>-563.079999999999</v>
      </c>
      <c r="M30" s="19">
        <f t="shared" si="8"/>
        <v>9.59752321981424</v>
      </c>
      <c r="N30" s="19">
        <f t="shared" si="9"/>
        <v>5.01204149383906</v>
      </c>
      <c r="O30" s="12">
        <f t="shared" si="10"/>
        <v>354</v>
      </c>
      <c r="P30" s="12">
        <f t="shared" si="11"/>
        <v>9576.29815</v>
      </c>
      <c r="Q30" s="12">
        <f t="shared" si="12"/>
        <v>31</v>
      </c>
      <c r="R30" s="12">
        <f t="shared" si="13"/>
        <v>457.060000000001</v>
      </c>
      <c r="S30" s="12">
        <f t="shared" si="14"/>
        <v>31</v>
      </c>
      <c r="T30" s="12">
        <f t="shared" si="15"/>
        <v>457.060000000001</v>
      </c>
      <c r="U30" s="19">
        <f t="shared" si="16"/>
        <v>9.59752321981424</v>
      </c>
      <c r="V30" s="19">
        <f t="shared" si="17"/>
        <v>5.01204149383906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333</v>
      </c>
      <c r="AJ30" s="47">
        <v>9214.70815</v>
      </c>
      <c r="AK30" s="47">
        <v>323</v>
      </c>
      <c r="AL30" s="47">
        <v>9119.23815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376</v>
      </c>
      <c r="D31" s="12">
        <v>10884.660038</v>
      </c>
      <c r="E31" s="12">
        <f t="shared" si="1"/>
        <v>16</v>
      </c>
      <c r="F31" s="12">
        <f t="shared" si="2"/>
        <v>-29.5295220000007</v>
      </c>
      <c r="G31" s="12">
        <f t="shared" si="3"/>
        <v>11</v>
      </c>
      <c r="H31" s="12">
        <f t="shared" si="4"/>
        <v>-196.849697</v>
      </c>
      <c r="I31" s="12">
        <f t="shared" si="5"/>
        <v>11</v>
      </c>
      <c r="J31" s="12">
        <f t="shared" si="6"/>
        <v>-196.849697</v>
      </c>
      <c r="K31" s="12">
        <f t="shared" si="18"/>
        <v>-37</v>
      </c>
      <c r="L31" s="12">
        <f t="shared" si="7"/>
        <v>-706.819697000001</v>
      </c>
      <c r="M31" s="19">
        <f t="shared" si="8"/>
        <v>3.01369863013699</v>
      </c>
      <c r="N31" s="19">
        <f t="shared" si="9"/>
        <v>-1.77637976870847</v>
      </c>
      <c r="O31" s="12">
        <f t="shared" si="10"/>
        <v>376</v>
      </c>
      <c r="P31" s="12">
        <f t="shared" si="11"/>
        <v>10884.660038</v>
      </c>
      <c r="Q31" s="12">
        <f t="shared" si="12"/>
        <v>11</v>
      </c>
      <c r="R31" s="12">
        <f t="shared" si="13"/>
        <v>-196.849697</v>
      </c>
      <c r="S31" s="12">
        <f t="shared" si="14"/>
        <v>11</v>
      </c>
      <c r="T31" s="12">
        <f t="shared" si="15"/>
        <v>-196.849697</v>
      </c>
      <c r="U31" s="19">
        <f t="shared" si="16"/>
        <v>3.01369863013699</v>
      </c>
      <c r="V31" s="19">
        <f t="shared" si="17"/>
        <v>-1.77637976870847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360</v>
      </c>
      <c r="AJ31" s="47">
        <v>10914.18956</v>
      </c>
      <c r="AK31" s="47">
        <v>365</v>
      </c>
      <c r="AL31" s="47">
        <v>11081.509735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517</v>
      </c>
      <c r="D32" s="12">
        <v>12633.106585</v>
      </c>
      <c r="E32" s="12">
        <f t="shared" si="1"/>
        <v>8</v>
      </c>
      <c r="F32" s="12">
        <f t="shared" si="2"/>
        <v>93.4194399999997</v>
      </c>
      <c r="G32" s="12">
        <f t="shared" si="3"/>
        <v>17</v>
      </c>
      <c r="H32" s="12">
        <f t="shared" si="4"/>
        <v>182.441083</v>
      </c>
      <c r="I32" s="12">
        <f t="shared" si="5"/>
        <v>17</v>
      </c>
      <c r="J32" s="12">
        <f t="shared" si="6"/>
        <v>182.441083</v>
      </c>
      <c r="K32" s="12">
        <f t="shared" si="18"/>
        <v>-43</v>
      </c>
      <c r="L32" s="12">
        <f t="shared" si="7"/>
        <v>-169.448916999999</v>
      </c>
      <c r="M32" s="19">
        <f t="shared" si="8"/>
        <v>3.4</v>
      </c>
      <c r="N32" s="19">
        <f t="shared" si="9"/>
        <v>1.4653118981527</v>
      </c>
      <c r="O32" s="12">
        <f t="shared" si="10"/>
        <v>517</v>
      </c>
      <c r="P32" s="12">
        <f t="shared" si="11"/>
        <v>12633.106585</v>
      </c>
      <c r="Q32" s="12">
        <f t="shared" si="12"/>
        <v>17</v>
      </c>
      <c r="R32" s="12">
        <f t="shared" si="13"/>
        <v>182.441083</v>
      </c>
      <c r="S32" s="30">
        <f t="shared" si="14"/>
        <v>17</v>
      </c>
      <c r="T32" s="12">
        <f t="shared" si="15"/>
        <v>182.441083</v>
      </c>
      <c r="U32" s="19">
        <f t="shared" si="16"/>
        <v>3.4</v>
      </c>
      <c r="V32" s="19">
        <f t="shared" si="17"/>
        <v>1.4653118981527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509</v>
      </c>
      <c r="AJ32" s="47">
        <v>12539.687145</v>
      </c>
      <c r="AK32" s="47">
        <v>500</v>
      </c>
      <c r="AL32" s="47">
        <v>12450.665502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2126</v>
      </c>
      <c r="D33" s="12">
        <v>96481.13591</v>
      </c>
      <c r="E33" s="12">
        <f t="shared" si="1"/>
        <v>-6</v>
      </c>
      <c r="F33" s="12">
        <f t="shared" si="2"/>
        <v>-289.327291000009</v>
      </c>
      <c r="G33" s="12">
        <f t="shared" si="3"/>
        <v>-14</v>
      </c>
      <c r="H33" s="12">
        <f t="shared" si="4"/>
        <v>-2245.69393399991</v>
      </c>
      <c r="I33" s="12">
        <f t="shared" si="5"/>
        <v>-14</v>
      </c>
      <c r="J33" s="12">
        <f t="shared" si="6"/>
        <v>-2245.69393399991</v>
      </c>
      <c r="K33" s="12">
        <f t="shared" si="18"/>
        <v>-45</v>
      </c>
      <c r="L33" s="12">
        <f t="shared" si="7"/>
        <v>-904.773933999908</v>
      </c>
      <c r="M33" s="19">
        <f t="shared" si="8"/>
        <v>-0.654205607476636</v>
      </c>
      <c r="N33" s="19">
        <f t="shared" si="9"/>
        <v>-2.27465415181301</v>
      </c>
      <c r="O33" s="12">
        <f t="shared" si="10"/>
        <v>2126</v>
      </c>
      <c r="P33" s="12">
        <f t="shared" si="11"/>
        <v>96481.13591</v>
      </c>
      <c r="Q33" s="12">
        <f t="shared" si="12"/>
        <v>-14</v>
      </c>
      <c r="R33" s="12">
        <f t="shared" si="13"/>
        <v>-2245.69393399991</v>
      </c>
      <c r="S33" s="30">
        <f t="shared" si="14"/>
        <v>-14</v>
      </c>
      <c r="T33" s="12">
        <f t="shared" si="15"/>
        <v>-2245.69393399991</v>
      </c>
      <c r="U33" s="19">
        <f t="shared" si="16"/>
        <v>-0.654205607476636</v>
      </c>
      <c r="V33" s="19">
        <f t="shared" si="17"/>
        <v>-2.27465415181301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2132</v>
      </c>
      <c r="AJ33" s="47">
        <v>96770.463201</v>
      </c>
      <c r="AK33" s="47">
        <v>2140</v>
      </c>
      <c r="AL33" s="47">
        <v>98726.8298439999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613</v>
      </c>
      <c r="D34" s="12">
        <v>27372.253028</v>
      </c>
      <c r="E34" s="12">
        <f t="shared" si="1"/>
        <v>3</v>
      </c>
      <c r="F34" s="12">
        <f t="shared" si="2"/>
        <v>9.14834699999847</v>
      </c>
      <c r="G34" s="12">
        <f t="shared" si="3"/>
        <v>4</v>
      </c>
      <c r="H34" s="12">
        <f t="shared" si="4"/>
        <v>91.5492180000001</v>
      </c>
      <c r="I34" s="12">
        <f t="shared" si="5"/>
        <v>4</v>
      </c>
      <c r="J34" s="12">
        <f t="shared" si="6"/>
        <v>91.5492180000001</v>
      </c>
      <c r="K34" s="12">
        <f t="shared" si="18"/>
        <v>-28</v>
      </c>
      <c r="L34" s="12">
        <f t="shared" si="7"/>
        <v>-1163.970782</v>
      </c>
      <c r="M34" s="19">
        <f t="shared" si="8"/>
        <v>0.656814449917898</v>
      </c>
      <c r="N34" s="19">
        <f t="shared" si="9"/>
        <v>0.33558231722175</v>
      </c>
      <c r="O34" s="12">
        <f t="shared" si="10"/>
        <v>613</v>
      </c>
      <c r="P34" s="12">
        <f t="shared" si="11"/>
        <v>27372.253028</v>
      </c>
      <c r="Q34" s="12">
        <f t="shared" si="12"/>
        <v>4</v>
      </c>
      <c r="R34" s="12">
        <f t="shared" si="13"/>
        <v>91.5492180000001</v>
      </c>
      <c r="S34" s="12">
        <f t="shared" si="14"/>
        <v>4</v>
      </c>
      <c r="T34" s="12">
        <f t="shared" si="15"/>
        <v>91.5492180000001</v>
      </c>
      <c r="U34" s="19">
        <f t="shared" si="16"/>
        <v>0.656814449917898</v>
      </c>
      <c r="V34" s="19">
        <f t="shared" si="17"/>
        <v>0.33558231722175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610</v>
      </c>
      <c r="AJ34" s="47">
        <v>27363.104681</v>
      </c>
      <c r="AK34" s="47">
        <v>609</v>
      </c>
      <c r="AL34" s="47">
        <v>27280.70381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2507</v>
      </c>
      <c r="D35" s="12">
        <v>96662</v>
      </c>
      <c r="E35" s="12">
        <f t="shared" si="1"/>
        <v>-3</v>
      </c>
      <c r="F35" s="12">
        <f t="shared" si="2"/>
        <v>-50</v>
      </c>
      <c r="G35" s="12">
        <f t="shared" si="3"/>
        <v>-14</v>
      </c>
      <c r="H35" s="12">
        <f t="shared" si="4"/>
        <v>-742</v>
      </c>
      <c r="I35" s="12">
        <f t="shared" si="5"/>
        <v>-14</v>
      </c>
      <c r="J35" s="12">
        <f t="shared" si="6"/>
        <v>-742</v>
      </c>
      <c r="K35" s="12">
        <f t="shared" si="18"/>
        <v>-137</v>
      </c>
      <c r="L35" s="12">
        <f t="shared" si="7"/>
        <v>-6056</v>
      </c>
      <c r="M35" s="19">
        <f t="shared" si="8"/>
        <v>-0.555335184450615</v>
      </c>
      <c r="N35" s="19">
        <f t="shared" si="9"/>
        <v>-0.761775697096629</v>
      </c>
      <c r="O35" s="12">
        <f t="shared" si="10"/>
        <v>2507</v>
      </c>
      <c r="P35" s="12">
        <f t="shared" si="11"/>
        <v>96662</v>
      </c>
      <c r="Q35" s="12">
        <f t="shared" si="12"/>
        <v>-14</v>
      </c>
      <c r="R35" s="12">
        <f t="shared" si="13"/>
        <v>-742</v>
      </c>
      <c r="S35" s="12">
        <f t="shared" si="14"/>
        <v>-14</v>
      </c>
      <c r="T35" s="12">
        <f t="shared" si="15"/>
        <v>-742</v>
      </c>
      <c r="U35" s="19">
        <f t="shared" si="16"/>
        <v>-0.555335184450615</v>
      </c>
      <c r="V35" s="19">
        <f t="shared" si="17"/>
        <v>-0.761775697096629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2510</v>
      </c>
      <c r="AJ35" s="47">
        <v>96712</v>
      </c>
      <c r="AK35" s="47">
        <v>2521</v>
      </c>
      <c r="AL35" s="47">
        <v>97404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2541</v>
      </c>
      <c r="D36" s="12">
        <v>84493</v>
      </c>
      <c r="E36" s="12">
        <f t="shared" si="1"/>
        <v>-1</v>
      </c>
      <c r="F36" s="12">
        <f t="shared" si="2"/>
        <v>-19</v>
      </c>
      <c r="G36" s="12">
        <f t="shared" si="3"/>
        <v>-2</v>
      </c>
      <c r="H36" s="12">
        <f t="shared" si="4"/>
        <v>-72</v>
      </c>
      <c r="I36" s="12">
        <f t="shared" si="5"/>
        <v>-2</v>
      </c>
      <c r="J36" s="12">
        <f t="shared" si="6"/>
        <v>-72</v>
      </c>
      <c r="K36" s="12">
        <f t="shared" si="18"/>
        <v>-5</v>
      </c>
      <c r="L36" s="12">
        <f t="shared" si="7"/>
        <v>-78</v>
      </c>
      <c r="M36" s="19">
        <f t="shared" si="8"/>
        <v>-0.0786472670074715</v>
      </c>
      <c r="N36" s="19">
        <f t="shared" si="9"/>
        <v>-0.085141607047833</v>
      </c>
      <c r="O36" s="12">
        <f t="shared" si="10"/>
        <v>2541</v>
      </c>
      <c r="P36" s="12">
        <f t="shared" si="11"/>
        <v>84493</v>
      </c>
      <c r="Q36" s="12">
        <f t="shared" si="12"/>
        <v>-2</v>
      </c>
      <c r="R36" s="12">
        <f t="shared" si="13"/>
        <v>-72</v>
      </c>
      <c r="S36" s="12">
        <f t="shared" si="14"/>
        <v>-2</v>
      </c>
      <c r="T36" s="12">
        <f t="shared" si="15"/>
        <v>-72</v>
      </c>
      <c r="U36" s="19">
        <f t="shared" si="16"/>
        <v>-0.0786472670074715</v>
      </c>
      <c r="V36" s="19">
        <f t="shared" si="17"/>
        <v>-0.085141607047833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2542</v>
      </c>
      <c r="AJ36" s="47">
        <v>84512</v>
      </c>
      <c r="AK36" s="47">
        <v>2543</v>
      </c>
      <c r="AL36" s="47">
        <v>84565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308</v>
      </c>
      <c r="D37" s="12">
        <v>13968.498856</v>
      </c>
      <c r="E37" s="12">
        <f t="shared" si="1"/>
        <v>12</v>
      </c>
      <c r="F37" s="12">
        <f t="shared" si="2"/>
        <v>376.74</v>
      </c>
      <c r="G37" s="12">
        <f t="shared" si="3"/>
        <v>15</v>
      </c>
      <c r="H37" s="12">
        <f t="shared" si="4"/>
        <v>315.32</v>
      </c>
      <c r="I37" s="12">
        <f t="shared" si="5"/>
        <v>15</v>
      </c>
      <c r="J37" s="12">
        <f t="shared" si="6"/>
        <v>315.32</v>
      </c>
      <c r="K37" s="12">
        <f t="shared" si="18"/>
        <v>-29</v>
      </c>
      <c r="L37" s="12">
        <f t="shared" si="7"/>
        <v>-690.29</v>
      </c>
      <c r="M37" s="19">
        <f t="shared" si="8"/>
        <v>5.11945392491468</v>
      </c>
      <c r="N37" s="19">
        <f t="shared" si="9"/>
        <v>2.30949878651469</v>
      </c>
      <c r="O37" s="12">
        <f t="shared" si="10"/>
        <v>308</v>
      </c>
      <c r="P37" s="12">
        <f t="shared" si="11"/>
        <v>13968.498856</v>
      </c>
      <c r="Q37" s="12">
        <f t="shared" si="12"/>
        <v>15</v>
      </c>
      <c r="R37" s="12">
        <f t="shared" si="13"/>
        <v>315.32</v>
      </c>
      <c r="S37" s="12">
        <f t="shared" si="14"/>
        <v>15</v>
      </c>
      <c r="T37" s="12">
        <f t="shared" si="15"/>
        <v>315.32</v>
      </c>
      <c r="U37" s="19">
        <f t="shared" si="16"/>
        <v>5.11945392491468</v>
      </c>
      <c r="V37" s="19">
        <f t="shared" si="17"/>
        <v>2.30949878651469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296</v>
      </c>
      <c r="AJ37" s="47">
        <v>13591.758856</v>
      </c>
      <c r="AK37" s="47">
        <v>293</v>
      </c>
      <c r="AL37" s="47">
        <v>13653.178856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19680.646163</v>
      </c>
      <c r="E38" s="12">
        <f t="shared" si="1"/>
        <v>-1</v>
      </c>
      <c r="F38" s="12">
        <f t="shared" si="2"/>
        <v>92.0600000000013</v>
      </c>
      <c r="G38" s="12">
        <f t="shared" si="3"/>
        <v>-1</v>
      </c>
      <c r="H38" s="12">
        <f t="shared" si="4"/>
        <v>-48.0789389999991</v>
      </c>
      <c r="I38" s="12">
        <f t="shared" si="5"/>
        <v>-1</v>
      </c>
      <c r="J38" s="12">
        <f t="shared" si="6"/>
        <v>-48.0789389999991</v>
      </c>
      <c r="K38" s="12">
        <f t="shared" si="18"/>
        <v>-41</v>
      </c>
      <c r="L38" s="12">
        <f t="shared" si="7"/>
        <v>-1067.078939</v>
      </c>
      <c r="M38" s="19">
        <f t="shared" si="8"/>
        <v>-0.225225225225225</v>
      </c>
      <c r="N38" s="19">
        <f t="shared" si="9"/>
        <v>-0.243700182102112</v>
      </c>
      <c r="O38" s="12">
        <f t="shared" si="10"/>
        <v>443</v>
      </c>
      <c r="P38" s="12">
        <f t="shared" si="11"/>
        <v>19680.646163</v>
      </c>
      <c r="Q38" s="12">
        <f t="shared" si="12"/>
        <v>-1</v>
      </c>
      <c r="R38" s="12">
        <f t="shared" si="13"/>
        <v>-48.0789389999991</v>
      </c>
      <c r="S38" s="12">
        <f t="shared" si="14"/>
        <v>-1</v>
      </c>
      <c r="T38" s="12">
        <f t="shared" si="15"/>
        <v>-48.0789389999991</v>
      </c>
      <c r="U38" s="19">
        <f t="shared" si="16"/>
        <v>-0.225225225225225</v>
      </c>
      <c r="V38" s="19">
        <f t="shared" si="17"/>
        <v>-0.243700182102112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444</v>
      </c>
      <c r="AJ38" s="47">
        <v>19588.586163</v>
      </c>
      <c r="AK38" s="47">
        <v>444</v>
      </c>
      <c r="AL38" s="47">
        <v>19728.725102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418</v>
      </c>
      <c r="D39" s="12">
        <v>18200.024245</v>
      </c>
      <c r="E39" s="12">
        <f t="shared" si="1"/>
        <v>8</v>
      </c>
      <c r="F39" s="12">
        <f t="shared" si="2"/>
        <v>261.063047</v>
      </c>
      <c r="G39" s="12">
        <f t="shared" si="3"/>
        <v>14</v>
      </c>
      <c r="H39" s="12">
        <f t="shared" si="4"/>
        <v>641.585761999999</v>
      </c>
      <c r="I39" s="12">
        <f t="shared" si="5"/>
        <v>14</v>
      </c>
      <c r="J39" s="12">
        <f t="shared" si="6"/>
        <v>641.585761999999</v>
      </c>
      <c r="K39" s="12">
        <f t="shared" si="18"/>
        <v>-4</v>
      </c>
      <c r="L39" s="12">
        <f t="shared" si="7"/>
        <v>-359.594238000001</v>
      </c>
      <c r="M39" s="19">
        <f t="shared" si="8"/>
        <v>3.46534653465347</v>
      </c>
      <c r="N39" s="19">
        <f t="shared" si="9"/>
        <v>3.65400239105077</v>
      </c>
      <c r="O39" s="12">
        <f t="shared" si="10"/>
        <v>418</v>
      </c>
      <c r="P39" s="12">
        <f t="shared" si="11"/>
        <v>18200.024245</v>
      </c>
      <c r="Q39" s="12">
        <f t="shared" si="12"/>
        <v>14</v>
      </c>
      <c r="R39" s="12">
        <f t="shared" si="13"/>
        <v>641.585761999999</v>
      </c>
      <c r="S39" s="12">
        <f t="shared" si="14"/>
        <v>14</v>
      </c>
      <c r="T39" s="12">
        <f t="shared" si="15"/>
        <v>641.585761999999</v>
      </c>
      <c r="U39" s="19">
        <f t="shared" si="16"/>
        <v>3.46534653465347</v>
      </c>
      <c r="V39" s="19">
        <f t="shared" si="17"/>
        <v>3.65400239105077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410</v>
      </c>
      <c r="AJ39" s="47">
        <v>17938.961198</v>
      </c>
      <c r="AK39" s="47">
        <v>404</v>
      </c>
      <c r="AL39" s="47">
        <v>17558.438483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325</v>
      </c>
      <c r="D40" s="12">
        <v>421140.974804</v>
      </c>
      <c r="E40" s="12">
        <f t="shared" si="1"/>
        <v>-2</v>
      </c>
      <c r="F40" s="12">
        <f t="shared" si="2"/>
        <v>-1490</v>
      </c>
      <c r="G40" s="12">
        <f t="shared" si="3"/>
        <v>1</v>
      </c>
      <c r="H40" s="12">
        <f t="shared" si="4"/>
        <v>2510</v>
      </c>
      <c r="I40" s="12">
        <f t="shared" si="5"/>
        <v>1</v>
      </c>
      <c r="J40" s="12">
        <f t="shared" si="6"/>
        <v>2510</v>
      </c>
      <c r="K40" s="12">
        <f t="shared" si="18"/>
        <v>-10</v>
      </c>
      <c r="L40" s="12">
        <f t="shared" si="7"/>
        <v>-6712.97000000003</v>
      </c>
      <c r="M40" s="19">
        <f t="shared" si="8"/>
        <v>0.308641975308642</v>
      </c>
      <c r="N40" s="19">
        <f t="shared" si="9"/>
        <v>0.599573407384669</v>
      </c>
      <c r="O40" s="12">
        <f t="shared" si="10"/>
        <v>325</v>
      </c>
      <c r="P40" s="12">
        <f t="shared" si="11"/>
        <v>421140.974804</v>
      </c>
      <c r="Q40" s="12">
        <f t="shared" si="12"/>
        <v>1</v>
      </c>
      <c r="R40" s="12">
        <f t="shared" si="13"/>
        <v>2510</v>
      </c>
      <c r="S40" s="12">
        <f t="shared" si="14"/>
        <v>1</v>
      </c>
      <c r="T40" s="12">
        <f t="shared" si="15"/>
        <v>2510</v>
      </c>
      <c r="U40" s="19">
        <f t="shared" si="16"/>
        <v>0.308641975308642</v>
      </c>
      <c r="V40" s="19">
        <f t="shared" si="17"/>
        <v>0.599573407384669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327</v>
      </c>
      <c r="AJ40" s="47">
        <v>422630.974804</v>
      </c>
      <c r="AK40" s="47">
        <v>324</v>
      </c>
      <c r="AL40" s="47">
        <v>418630.974804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17593.534576</v>
      </c>
      <c r="E41" s="12">
        <f t="shared" si="1"/>
        <v>0</v>
      </c>
      <c r="F41" s="12">
        <f t="shared" si="2"/>
        <v>-6.27123800000118</v>
      </c>
      <c r="G41" s="12">
        <f t="shared" si="3"/>
        <v>0</v>
      </c>
      <c r="H41" s="12">
        <f t="shared" si="4"/>
        <v>-12.2915390000016</v>
      </c>
      <c r="I41" s="12">
        <f t="shared" si="5"/>
        <v>0</v>
      </c>
      <c r="J41" s="12">
        <f t="shared" si="6"/>
        <v>-12.2915390000016</v>
      </c>
      <c r="K41" s="12">
        <f t="shared" si="18"/>
        <v>-34</v>
      </c>
      <c r="L41" s="12">
        <f t="shared" si="7"/>
        <v>-933.051539000004</v>
      </c>
      <c r="M41" s="19">
        <f t="shared" si="8"/>
        <v>0</v>
      </c>
      <c r="N41" s="19">
        <f t="shared" si="9"/>
        <v>-0.0698151789056315</v>
      </c>
      <c r="O41" s="12">
        <f>C41+W41+AA41-AC41+Y41</f>
        <v>352</v>
      </c>
      <c r="P41" s="12">
        <f>D41+X41+AB41-AD41+Z41</f>
        <v>17593.534576</v>
      </c>
      <c r="Q41" s="12">
        <f t="shared" si="12"/>
        <v>0</v>
      </c>
      <c r="R41" s="12">
        <f t="shared" si="13"/>
        <v>-12.2915390000016</v>
      </c>
      <c r="S41" s="12">
        <f t="shared" si="14"/>
        <v>0</v>
      </c>
      <c r="T41" s="12">
        <f t="shared" si="15"/>
        <v>-12.2915390000016</v>
      </c>
      <c r="U41" s="19">
        <f t="shared" si="16"/>
        <v>0</v>
      </c>
      <c r="V41" s="19">
        <f t="shared" si="17"/>
        <v>-0.0698151789056315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352</v>
      </c>
      <c r="AJ41" s="47">
        <v>17599.805814</v>
      </c>
      <c r="AK41" s="47">
        <v>352</v>
      </c>
      <c r="AL41" s="47">
        <v>17605.826115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1738709</v>
      </c>
      <c r="E42" s="16"/>
      <c r="F42" s="12">
        <v>1445</v>
      </c>
      <c r="G42" s="16"/>
      <c r="H42" s="12">
        <v>767</v>
      </c>
      <c r="I42" s="16"/>
      <c r="J42" s="12">
        <v>767</v>
      </c>
      <c r="K42" s="12"/>
      <c r="L42" s="12"/>
      <c r="M42" s="20"/>
      <c r="N42" s="19">
        <v>0.04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2026-01-06T05:57:09Z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