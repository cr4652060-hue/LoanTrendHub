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<sst xmlns="http://schemas.openxmlformats.org/spreadsheetml/2006/main" count="139" uniqueCount="66">
  <si>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</si>
  <si>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2026.01.25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</si>
  <si>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</si>
  <si>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</si>
  <si>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</si>
  <si>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</si>
  <si>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</si>
  <si>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</si>
  <si>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</si>
  <si>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</si>
  <si>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</si>
  <si>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</si>
  <si>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</si>
  <si>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</si>
  <si>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</si>
  <si>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较22日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</si>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</sst>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25102</v>
      </c>
      <c r="D6" s="12">
        <f>SUM(D7:D41)</f>
        <v>1414990.440216</v>
      </c>
      <c r="E6" s="12">
        <f>C6-AI6</f>
        <v>57</v>
      </c>
      <c r="F6" s="12">
        <f>D6-AJ6</f>
        <v>1903.07769600023</v>
      </c>
      <c r="G6" s="12">
        <f>C6-AM6</f>
        <v>511</v>
      </c>
      <c r="H6" s="12">
        <f>D6-AN6</f>
        <v>21548.8942290002</v>
      </c>
      <c r="I6" s="12">
        <f>C6-AE6</f>
        <v>511</v>
      </c>
      <c r="J6" s="12">
        <f>D6-AF6</f>
        <v>21548.8942290002</v>
      </c>
      <c r="K6" s="12">
        <f>I6-AS6</f>
        <v>-1021</v>
      </c>
      <c r="L6" s="12">
        <f>J6-AT6</f>
        <v>-22301.5957709996</v>
      </c>
      <c r="M6" s="19">
        <f>I6/AE6*100</f>
        <v>2.07799601480216</v>
      </c>
      <c r="N6" s="19">
        <f>J6/AF6*100</f>
        <v>1.54645125165525</v>
      </c>
      <c r="O6" s="12">
        <f>C6+Y6</f>
        <v>25102</v>
      </c>
      <c r="P6" s="12">
        <f>D6+Z6</f>
        <v>1414990.440216</v>
      </c>
      <c r="Q6" s="12">
        <f>O6-AO6</f>
        <v>511</v>
      </c>
      <c r="R6" s="12">
        <f>P6-AP6</f>
        <v>21548.8942290002</v>
      </c>
      <c r="S6" s="30">
        <f>O6-AG6</f>
        <v>511</v>
      </c>
      <c r="T6" s="12">
        <f>P6-AH6</f>
        <v>21548.8942290002</v>
      </c>
      <c r="U6" s="19">
        <f>S6/AG6*100</f>
        <v>2.07799601480216</v>
      </c>
      <c r="V6" s="19">
        <f>T6/AH6*100</f>
        <v>1.54645125165525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25045</v>
      </c>
      <c r="AJ6" s="47">
        <v>1413087.36252</v>
      </c>
      <c r="AK6" s="47">
        <v>25045</v>
      </c>
      <c r="AL6" s="48">
        <v>1413087.36252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1657</v>
      </c>
      <c r="D7" s="12">
        <v>80970.30968</v>
      </c>
      <c r="E7" s="12">
        <f>C7-AI7</f>
        <v>4</v>
      </c>
      <c r="F7" s="12">
        <f>D7-AJ7</f>
        <v>194.262350000005</v>
      </c>
      <c r="G7" s="12">
        <f>C7-AM7</f>
        <v>0</v>
      </c>
      <c r="H7" s="12">
        <f>D7-AN7</f>
        <v>-1439.606216</v>
      </c>
      <c r="I7" s="12">
        <f>C7-AE7</f>
        <v>0</v>
      </c>
      <c r="J7" s="12">
        <f>D7-AF7</f>
        <v>-1439.606216</v>
      </c>
      <c r="K7" s="12">
        <f t="shared" ref="K6:K12" si="0">I7-AS7</f>
        <v>-31</v>
      </c>
      <c r="L7" s="12">
        <f>J7-AT7</f>
        <v>-2947.14621600001</v>
      </c>
      <c r="M7" s="19">
        <f>I7/AE7*100</f>
        <v>0</v>
      </c>
      <c r="N7" s="19">
        <f>J7/AF7*100</f>
        <v>-1.74688470476873</v>
      </c>
      <c r="O7" s="12">
        <f>C7+W7+AA7-AC7</f>
        <v>1657</v>
      </c>
      <c r="P7" s="12">
        <f>D7+X7+AB7-AD7</f>
        <v>80970.30968</v>
      </c>
      <c r="Q7" s="12">
        <f>O7-AO7</f>
        <v>0</v>
      </c>
      <c r="R7" s="12">
        <f>P7-AP7</f>
        <v>-1439.606216</v>
      </c>
      <c r="S7" s="12">
        <f>O7-AG7</f>
        <v>0</v>
      </c>
      <c r="T7" s="12">
        <f>P7-AH7</f>
        <v>-1439.606216</v>
      </c>
      <c r="U7" s="19">
        <f>S7/AG7*100</f>
        <v>0</v>
      </c>
      <c r="V7" s="19">
        <f>T7/AH7*100</f>
        <v>-1.74688470476873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1653</v>
      </c>
      <c r="AJ7" s="47">
        <v>80776.04733</v>
      </c>
      <c r="AK7" s="47">
        <v>1653</v>
      </c>
      <c r="AL7" s="47">
        <v>80776.04733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1907</v>
      </c>
      <c r="D8" s="12">
        <v>121389.316931</v>
      </c>
      <c r="E8" s="12">
        <f>C8-AI8</f>
        <v>6</v>
      </c>
      <c r="F8" s="12">
        <f>D8-AJ8</f>
        <v>241.035328999991</v>
      </c>
      <c r="G8" s="12">
        <f>C8-AM8</f>
        <v>-18</v>
      </c>
      <c r="H8" s="12">
        <f>D8-AN8</f>
        <v>-1839.05266500001</v>
      </c>
      <c r="I8" s="12">
        <f>C8-AE8</f>
        <v>-18</v>
      </c>
      <c r="J8" s="12">
        <f>D8-AF8</f>
        <v>-1839.05266500001</v>
      </c>
      <c r="K8" s="12">
        <f t="shared" si="0"/>
        <v>-18</v>
      </c>
      <c r="L8" s="12">
        <f>J8-AT8</f>
        <v>-725.202665</v>
      </c>
      <c r="M8" s="19">
        <f>I8/AE8*100</f>
        <v>-0.935064935064935</v>
      </c>
      <c r="N8" s="19">
        <f>J8/AF8*100</f>
        <v>-1.49239389519579</v>
      </c>
      <c r="O8" s="12">
        <f>C8+W8+AA8-AC8</f>
        <v>1915</v>
      </c>
      <c r="P8" s="12">
        <f>D8+X8+AB8-AD8</f>
        <v>121594.682931</v>
      </c>
      <c r="Q8" s="12">
        <f>O8-AO8</f>
        <v>-10</v>
      </c>
      <c r="R8" s="12">
        <f>P8-AP8</f>
        <v>-1633.68666500002</v>
      </c>
      <c r="S8" s="30">
        <f>O8-AG8</f>
        <v>-10</v>
      </c>
      <c r="T8" s="12">
        <f>P8-AH8</f>
        <v>-1633.68666500002</v>
      </c>
      <c r="U8" s="19">
        <f>S8/AG8*100</f>
        <v>-0.519480519480519</v>
      </c>
      <c r="V8" s="19">
        <f>T8/AH8*100</f>
        <v>-1.32573908942884</v>
      </c>
      <c r="W8" s="12"/>
      <c r="X8" s="29"/>
      <c r="Y8" s="29"/>
      <c r="Z8" s="29"/>
      <c r="AA8" s="29">
        <v>8</v>
      </c>
      <c r="AB8" s="12">
        <v>205.366</v>
      </c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1901</v>
      </c>
      <c r="AJ8" s="47">
        <v>121148.281602</v>
      </c>
      <c r="AK8" s="47">
        <v>1909</v>
      </c>
      <c r="AL8" s="47">
        <v>121353.647602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769</v>
      </c>
      <c r="D9" s="12">
        <v>23295.76901</v>
      </c>
      <c r="E9" s="12">
        <f t="shared" ref="E9:E41" si="1">C9-AI9</f>
        <v>-3</v>
      </c>
      <c r="F9" s="12">
        <f t="shared" ref="F9:F41" si="2">D9-AJ9</f>
        <v>-289.373476000001</v>
      </c>
      <c r="G9" s="12">
        <f t="shared" ref="G9:G41" si="3">C9-AM9</f>
        <v>56</v>
      </c>
      <c r="H9" s="12">
        <f t="shared" ref="H9:H41" si="4">D9-AN9</f>
        <v>177.473773999998</v>
      </c>
      <c r="I9" s="12">
        <f t="shared" ref="I9:I41" si="5">C9-AE9</f>
        <v>56</v>
      </c>
      <c r="J9" s="12">
        <f t="shared" ref="J9:J41" si="6">D9-AF9</f>
        <v>177.473773999998</v>
      </c>
      <c r="K9" s="12">
        <f t="shared" si="0"/>
        <v>-45</v>
      </c>
      <c r="L9" s="12">
        <f t="shared" ref="L9:L41" si="7">J9-AT9</f>
        <v>-1075.606226</v>
      </c>
      <c r="M9" s="19">
        <f t="shared" ref="M9:M41" si="8">I9/AE9*100</f>
        <v>7.85413744740533</v>
      </c>
      <c r="N9" s="19">
        <f t="shared" ref="N9:N41" si="9">J9/AF9*100</f>
        <v>0.767676734760419</v>
      </c>
      <c r="O9" s="12">
        <f t="shared" ref="O9:O40" si="10">C9+W9+AA9-AC9</f>
        <v>769</v>
      </c>
      <c r="P9" s="12">
        <f t="shared" ref="P9:P40" si="11">D9+X9+AB9-AD9</f>
        <v>23295.76901</v>
      </c>
      <c r="Q9" s="12">
        <f t="shared" ref="Q9:Q41" si="12">O9-AO9</f>
        <v>56</v>
      </c>
      <c r="R9" s="12">
        <f t="shared" ref="R9:R41" si="13">P9-AP9</f>
        <v>177.473773999998</v>
      </c>
      <c r="S9" s="12">
        <f t="shared" ref="S9:S41" si="14">O9-AG9</f>
        <v>56</v>
      </c>
      <c r="T9" s="12">
        <f t="shared" ref="T9:T41" si="15">P9-AH9</f>
        <v>177.473773999998</v>
      </c>
      <c r="U9" s="19">
        <f t="shared" ref="U9:U41" si="16">S9/AG9*100</f>
        <v>7.85413744740533</v>
      </c>
      <c r="V9" s="19">
        <f t="shared" ref="V9:V41" si="17">T9/AH9*100</f>
        <v>0.767676734760419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772</v>
      </c>
      <c r="AJ9" s="47">
        <v>23585.142486</v>
      </c>
      <c r="AK9" s="47">
        <v>772</v>
      </c>
      <c r="AL9" s="47">
        <v>23585.142486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929</v>
      </c>
      <c r="D10" s="12">
        <v>27797.31421</v>
      </c>
      <c r="E10" s="12">
        <f t="shared" si="1"/>
        <v>-4</v>
      </c>
      <c r="F10" s="12">
        <f t="shared" si="2"/>
        <v>-25.1958830000003</v>
      </c>
      <c r="G10" s="12">
        <f t="shared" si="3"/>
        <v>38</v>
      </c>
      <c r="H10" s="12">
        <f t="shared" si="4"/>
        <v>-78.3868650000004</v>
      </c>
      <c r="I10" s="12">
        <f t="shared" si="5"/>
        <v>38</v>
      </c>
      <c r="J10" s="12">
        <f t="shared" si="6"/>
        <v>-78.3868650000004</v>
      </c>
      <c r="K10" s="12">
        <f t="shared" si="0"/>
        <v>20</v>
      </c>
      <c r="L10" s="12">
        <f t="shared" si="7"/>
        <v>-1789.156865</v>
      </c>
      <c r="M10" s="19">
        <f t="shared" si="8"/>
        <v>4.2648709315376</v>
      </c>
      <c r="N10" s="19">
        <f t="shared" si="9"/>
        <v>-0.281201411900276</v>
      </c>
      <c r="O10" s="12">
        <f t="shared" si="10"/>
        <v>929</v>
      </c>
      <c r="P10" s="12">
        <f t="shared" si="11"/>
        <v>27797.31421</v>
      </c>
      <c r="Q10" s="12">
        <f t="shared" si="12"/>
        <v>38</v>
      </c>
      <c r="R10" s="12">
        <f t="shared" si="13"/>
        <v>-78.3868650000004</v>
      </c>
      <c r="S10" s="12">
        <f t="shared" si="14"/>
        <v>38</v>
      </c>
      <c r="T10" s="12">
        <f t="shared" si="15"/>
        <v>-78.3868650000004</v>
      </c>
      <c r="U10" s="19">
        <f t="shared" si="16"/>
        <v>4.2648709315376</v>
      </c>
      <c r="V10" s="19">
        <f t="shared" si="17"/>
        <v>-0.281201411900276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933</v>
      </c>
      <c r="AJ10" s="47">
        <v>27822.510093</v>
      </c>
      <c r="AK10" s="47">
        <v>933</v>
      </c>
      <c r="AL10" s="47">
        <v>27822.510093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516</v>
      </c>
      <c r="D11" s="12">
        <v>12672.755771</v>
      </c>
      <c r="E11" s="12">
        <f t="shared" si="1"/>
        <v>2</v>
      </c>
      <c r="F11" s="12">
        <f t="shared" si="2"/>
        <v>62.8355250000004</v>
      </c>
      <c r="G11" s="12">
        <f t="shared" si="3"/>
        <v>25</v>
      </c>
      <c r="H11" s="12">
        <f t="shared" si="4"/>
        <v>531.283957</v>
      </c>
      <c r="I11" s="12">
        <f t="shared" si="5"/>
        <v>25</v>
      </c>
      <c r="J11" s="12">
        <f t="shared" si="6"/>
        <v>531.283957</v>
      </c>
      <c r="K11" s="12">
        <f t="shared" si="0"/>
        <v>-14</v>
      </c>
      <c r="L11" s="12">
        <f t="shared" si="7"/>
        <v>-405.376043</v>
      </c>
      <c r="M11" s="19">
        <f t="shared" si="8"/>
        <v>5.09164969450102</v>
      </c>
      <c r="N11" s="19">
        <f t="shared" si="9"/>
        <v>4.3757788605776</v>
      </c>
      <c r="O11" s="12">
        <f t="shared" si="10"/>
        <v>516</v>
      </c>
      <c r="P11" s="12">
        <f t="shared" si="11"/>
        <v>12672.755771</v>
      </c>
      <c r="Q11" s="12">
        <f t="shared" si="12"/>
        <v>25</v>
      </c>
      <c r="R11" s="12">
        <f t="shared" si="13"/>
        <v>531.283957</v>
      </c>
      <c r="S11" s="12">
        <f t="shared" si="14"/>
        <v>25</v>
      </c>
      <c r="T11" s="12">
        <f t="shared" si="15"/>
        <v>531.283957</v>
      </c>
      <c r="U11" s="19">
        <f t="shared" si="16"/>
        <v>5.09164969450102</v>
      </c>
      <c r="V11" s="19">
        <f t="shared" si="17"/>
        <v>4.3757788605776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514</v>
      </c>
      <c r="AJ11" s="47">
        <v>12609.920246</v>
      </c>
      <c r="AK11" s="47">
        <v>514</v>
      </c>
      <c r="AL11" s="47">
        <v>12609.920246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401</v>
      </c>
      <c r="D12" s="12">
        <v>14363.607473</v>
      </c>
      <c r="E12" s="12">
        <f t="shared" si="1"/>
        <v>1</v>
      </c>
      <c r="F12" s="12">
        <f t="shared" si="2"/>
        <v>-65.0300000000007</v>
      </c>
      <c r="G12" s="12">
        <f t="shared" si="3"/>
        <v>43</v>
      </c>
      <c r="H12" s="12">
        <f t="shared" si="4"/>
        <v>988.361136</v>
      </c>
      <c r="I12" s="12">
        <f t="shared" si="5"/>
        <v>43</v>
      </c>
      <c r="J12" s="12">
        <f t="shared" si="6"/>
        <v>988.361136</v>
      </c>
      <c r="K12" s="12">
        <f t="shared" si="0"/>
        <v>-30</v>
      </c>
      <c r="L12" s="12">
        <f t="shared" si="7"/>
        <v>-505.638864</v>
      </c>
      <c r="M12" s="19">
        <f t="shared" si="8"/>
        <v>12.0111731843575</v>
      </c>
      <c r="N12" s="19">
        <f t="shared" si="9"/>
        <v>7.38947987272498</v>
      </c>
      <c r="O12" s="12">
        <f t="shared" si="10"/>
        <v>401</v>
      </c>
      <c r="P12" s="12">
        <f t="shared" si="11"/>
        <v>14363.607473</v>
      </c>
      <c r="Q12" s="12">
        <f t="shared" si="12"/>
        <v>43</v>
      </c>
      <c r="R12" s="12">
        <f t="shared" si="13"/>
        <v>988.361136</v>
      </c>
      <c r="S12" s="30">
        <f t="shared" si="14"/>
        <v>43</v>
      </c>
      <c r="T12" s="12">
        <f t="shared" si="15"/>
        <v>988.361136</v>
      </c>
      <c r="U12" s="19">
        <f t="shared" si="16"/>
        <v>12.0111731843575</v>
      </c>
      <c r="V12" s="19">
        <f t="shared" si="17"/>
        <v>7.38947987272498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400</v>
      </c>
      <c r="AJ12" s="47">
        <v>14428.637473</v>
      </c>
      <c r="AK12" s="47">
        <v>400</v>
      </c>
      <c r="AL12" s="47">
        <v>14428.637473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477</v>
      </c>
      <c r="D13" s="12">
        <v>11764.649347</v>
      </c>
      <c r="E13" s="12">
        <f t="shared" si="1"/>
        <v>3</v>
      </c>
      <c r="F13" s="12">
        <f t="shared" si="2"/>
        <v>63.8588740000014</v>
      </c>
      <c r="G13" s="12">
        <f t="shared" si="3"/>
        <v>8</v>
      </c>
      <c r="H13" s="12">
        <f t="shared" si="4"/>
        <v>-272.640269</v>
      </c>
      <c r="I13" s="12">
        <f t="shared" si="5"/>
        <v>8</v>
      </c>
      <c r="J13" s="12">
        <f t="shared" si="6"/>
        <v>-272.640269</v>
      </c>
      <c r="K13" s="12">
        <f t="shared" ref="K9:K41" si="18">I13-AS13</f>
        <v>5</v>
      </c>
      <c r="L13" s="12">
        <f t="shared" si="7"/>
        <v>-839.110269000001</v>
      </c>
      <c r="M13" s="19">
        <f t="shared" si="8"/>
        <v>1.70575692963753</v>
      </c>
      <c r="N13" s="19">
        <f t="shared" si="9"/>
        <v>-2.26496393870598</v>
      </c>
      <c r="O13" s="12">
        <f t="shared" si="10"/>
        <v>481</v>
      </c>
      <c r="P13" s="12">
        <f t="shared" si="11"/>
        <v>11854.149347</v>
      </c>
      <c r="Q13" s="12">
        <f t="shared" si="12"/>
        <v>12</v>
      </c>
      <c r="R13" s="12">
        <f t="shared" si="13"/>
        <v>-183.140269</v>
      </c>
      <c r="S13" s="12">
        <f t="shared" si="14"/>
        <v>12</v>
      </c>
      <c r="T13" s="12">
        <f t="shared" si="15"/>
        <v>-183.140269</v>
      </c>
      <c r="U13" s="19">
        <f t="shared" si="16"/>
        <v>2.55863539445629</v>
      </c>
      <c r="V13" s="19">
        <f t="shared" si="17"/>
        <v>-1.52144107886687</v>
      </c>
      <c r="W13" s="12"/>
      <c r="X13" s="29"/>
      <c r="Y13" s="29"/>
      <c r="Z13" s="29"/>
      <c r="AA13" s="29">
        <v>4</v>
      </c>
      <c r="AB13" s="12">
        <v>89.5</v>
      </c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474</v>
      </c>
      <c r="AJ13" s="47">
        <v>11700.790473</v>
      </c>
      <c r="AK13" s="47">
        <v>478</v>
      </c>
      <c r="AL13" s="47">
        <v>11790.290473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375</v>
      </c>
      <c r="D14" s="12">
        <v>10734.492383</v>
      </c>
      <c r="E14" s="12">
        <f t="shared" si="1"/>
        <v>3</v>
      </c>
      <c r="F14" s="12">
        <f t="shared" si="2"/>
        <v>-630.196860999999</v>
      </c>
      <c r="G14" s="12">
        <f t="shared" si="3"/>
        <v>27</v>
      </c>
      <c r="H14" s="12">
        <f t="shared" si="4"/>
        <v>154.801335</v>
      </c>
      <c r="I14" s="12">
        <f t="shared" si="5"/>
        <v>27</v>
      </c>
      <c r="J14" s="12">
        <f t="shared" si="6"/>
        <v>154.801335</v>
      </c>
      <c r="K14" s="12">
        <f t="shared" si="18"/>
        <v>-49</v>
      </c>
      <c r="L14" s="12">
        <f t="shared" si="7"/>
        <v>-762.498664999999</v>
      </c>
      <c r="M14" s="19">
        <f t="shared" si="8"/>
        <v>7.75862068965517</v>
      </c>
      <c r="N14" s="19">
        <f t="shared" si="9"/>
        <v>1.46319334182508</v>
      </c>
      <c r="O14" s="12">
        <f t="shared" si="10"/>
        <v>375</v>
      </c>
      <c r="P14" s="12">
        <f t="shared" si="11"/>
        <v>10734.492383</v>
      </c>
      <c r="Q14" s="12">
        <f t="shared" si="12"/>
        <v>27</v>
      </c>
      <c r="R14" s="12">
        <f t="shared" si="13"/>
        <v>154.801335</v>
      </c>
      <c r="S14" s="12">
        <f t="shared" si="14"/>
        <v>27</v>
      </c>
      <c r="T14" s="12">
        <f t="shared" si="15"/>
        <v>154.801335</v>
      </c>
      <c r="U14" s="19">
        <f t="shared" si="16"/>
        <v>7.75862068965517</v>
      </c>
      <c r="V14" s="19">
        <f t="shared" si="17"/>
        <v>1.46319334182508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372</v>
      </c>
      <c r="AJ14" s="47">
        <v>11364.689244</v>
      </c>
      <c r="AK14" s="47">
        <v>372</v>
      </c>
      <c r="AL14" s="47">
        <v>11364.689244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721</v>
      </c>
      <c r="D15" s="12">
        <v>18334.37774</v>
      </c>
      <c r="E15" s="12">
        <f t="shared" si="1"/>
        <v>9</v>
      </c>
      <c r="F15" s="12">
        <f t="shared" si="2"/>
        <v>305.666335000002</v>
      </c>
      <c r="G15" s="12">
        <f t="shared" si="3"/>
        <v>67</v>
      </c>
      <c r="H15" s="12">
        <f t="shared" si="4"/>
        <v>793.040993999999</v>
      </c>
      <c r="I15" s="12">
        <f t="shared" si="5"/>
        <v>67</v>
      </c>
      <c r="J15" s="12">
        <f t="shared" si="6"/>
        <v>793.040993999999</v>
      </c>
      <c r="K15" s="12">
        <f t="shared" si="18"/>
        <v>-43</v>
      </c>
      <c r="L15" s="12">
        <f t="shared" si="7"/>
        <v>-666.809006000001</v>
      </c>
      <c r="M15" s="19">
        <f t="shared" si="8"/>
        <v>10.2446483180428</v>
      </c>
      <c r="N15" s="19">
        <f t="shared" si="9"/>
        <v>4.52098380803754</v>
      </c>
      <c r="O15" s="12">
        <f t="shared" si="10"/>
        <v>721</v>
      </c>
      <c r="P15" s="12">
        <f t="shared" si="11"/>
        <v>18334.37774</v>
      </c>
      <c r="Q15" s="12">
        <f t="shared" si="12"/>
        <v>67</v>
      </c>
      <c r="R15" s="12">
        <f t="shared" si="13"/>
        <v>793.040993999999</v>
      </c>
      <c r="S15" s="12">
        <f t="shared" si="14"/>
        <v>67</v>
      </c>
      <c r="T15" s="12">
        <f t="shared" si="15"/>
        <v>793.040993999999</v>
      </c>
      <c r="U15" s="19">
        <f t="shared" si="16"/>
        <v>10.2446483180428</v>
      </c>
      <c r="V15" s="19">
        <f t="shared" si="17"/>
        <v>4.52098380803754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712</v>
      </c>
      <c r="AJ15" s="47">
        <v>18028.711405</v>
      </c>
      <c r="AK15" s="47">
        <v>712</v>
      </c>
      <c r="AL15" s="47">
        <v>18028.711405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704</v>
      </c>
      <c r="D16" s="12">
        <v>24308.781967</v>
      </c>
      <c r="E16" s="12">
        <f t="shared" si="1"/>
        <v>7</v>
      </c>
      <c r="F16" s="12">
        <f t="shared" si="2"/>
        <v>-116.947419</v>
      </c>
      <c r="G16" s="12">
        <f t="shared" si="3"/>
        <v>1</v>
      </c>
      <c r="H16" s="12">
        <f t="shared" si="4"/>
        <v>1408.055004</v>
      </c>
      <c r="I16" s="12">
        <f t="shared" si="5"/>
        <v>1</v>
      </c>
      <c r="J16" s="12">
        <f t="shared" si="6"/>
        <v>1408.055004</v>
      </c>
      <c r="K16" s="12">
        <f t="shared" si="18"/>
        <v>-62</v>
      </c>
      <c r="L16" s="12">
        <f t="shared" si="7"/>
        <v>620.095003999999</v>
      </c>
      <c r="M16" s="19">
        <f t="shared" si="8"/>
        <v>0.142247510668563</v>
      </c>
      <c r="N16" s="19">
        <f t="shared" si="9"/>
        <v>6.14851662252884</v>
      </c>
      <c r="O16" s="12">
        <f t="shared" si="10"/>
        <v>704</v>
      </c>
      <c r="P16" s="12">
        <f t="shared" si="11"/>
        <v>24308.781967</v>
      </c>
      <c r="Q16" s="12">
        <f t="shared" si="12"/>
        <v>1</v>
      </c>
      <c r="R16" s="12">
        <f t="shared" si="13"/>
        <v>1408.055004</v>
      </c>
      <c r="S16" s="12">
        <f t="shared" si="14"/>
        <v>1</v>
      </c>
      <c r="T16" s="12">
        <f t="shared" si="15"/>
        <v>1408.055004</v>
      </c>
      <c r="U16" s="19">
        <f t="shared" si="16"/>
        <v>0.142247510668563</v>
      </c>
      <c r="V16" s="19">
        <f t="shared" si="17"/>
        <v>6.14851662252884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697</v>
      </c>
      <c r="AJ16" s="47">
        <v>24425.729386</v>
      </c>
      <c r="AK16" s="47">
        <v>697</v>
      </c>
      <c r="AL16" s="47">
        <v>24425.729386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582</v>
      </c>
      <c r="D17" s="12">
        <v>18028.672779</v>
      </c>
      <c r="E17" s="12">
        <f t="shared" si="1"/>
        <v>0</v>
      </c>
      <c r="F17" s="12">
        <f t="shared" si="2"/>
        <v>7.28940599999987</v>
      </c>
      <c r="G17" s="12">
        <f t="shared" si="3"/>
        <v>-17</v>
      </c>
      <c r="H17" s="12">
        <f t="shared" si="4"/>
        <v>-401.348097999999</v>
      </c>
      <c r="I17" s="12">
        <f t="shared" si="5"/>
        <v>-17</v>
      </c>
      <c r="J17" s="12">
        <f t="shared" si="6"/>
        <v>-401.348097999999</v>
      </c>
      <c r="K17" s="12">
        <f t="shared" si="18"/>
        <v>-25</v>
      </c>
      <c r="L17" s="12">
        <f t="shared" si="7"/>
        <v>-1131.058098</v>
      </c>
      <c r="M17" s="19">
        <f t="shared" si="8"/>
        <v>-2.83806343906511</v>
      </c>
      <c r="N17" s="19">
        <f t="shared" si="9"/>
        <v>-2.17768661619297</v>
      </c>
      <c r="O17" s="12">
        <f t="shared" si="10"/>
        <v>585</v>
      </c>
      <c r="P17" s="12">
        <f t="shared" si="11"/>
        <v>18078.959879</v>
      </c>
      <c r="Q17" s="12">
        <f t="shared" si="12"/>
        <v>-14</v>
      </c>
      <c r="R17" s="12">
        <f t="shared" si="13"/>
        <v>-351.060997999997</v>
      </c>
      <c r="S17" s="30">
        <f t="shared" si="14"/>
        <v>-14</v>
      </c>
      <c r="T17" s="12">
        <f t="shared" si="15"/>
        <v>-351.060997999997</v>
      </c>
      <c r="U17" s="19">
        <f t="shared" si="16"/>
        <v>-2.33722871452421</v>
      </c>
      <c r="V17" s="19">
        <f t="shared" si="17"/>
        <v>-1.90483234035892</v>
      </c>
      <c r="W17" s="12"/>
      <c r="X17" s="29"/>
      <c r="Y17" s="29"/>
      <c r="Z17" s="29"/>
      <c r="AA17" s="29">
        <v>3</v>
      </c>
      <c r="AB17" s="12">
        <v>50.2871</v>
      </c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582</v>
      </c>
      <c r="AJ17" s="47">
        <v>18021.383373</v>
      </c>
      <c r="AK17" s="47">
        <v>585</v>
      </c>
      <c r="AL17" s="47">
        <v>18071.670473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476</v>
      </c>
      <c r="D18" s="12">
        <v>20193.640385</v>
      </c>
      <c r="E18" s="12">
        <f t="shared" si="1"/>
        <v>-2</v>
      </c>
      <c r="F18" s="12">
        <f t="shared" si="2"/>
        <v>-87.5897409999998</v>
      </c>
      <c r="G18" s="12">
        <f t="shared" si="3"/>
        <v>-6</v>
      </c>
      <c r="H18" s="12">
        <f t="shared" si="4"/>
        <v>636.176984999998</v>
      </c>
      <c r="I18" s="12">
        <f t="shared" si="5"/>
        <v>-6</v>
      </c>
      <c r="J18" s="12">
        <f t="shared" si="6"/>
        <v>636.176984999998</v>
      </c>
      <c r="K18" s="12">
        <f t="shared" si="18"/>
        <v>-17</v>
      </c>
      <c r="L18" s="12">
        <f t="shared" si="7"/>
        <v>-675.293015000002</v>
      </c>
      <c r="M18" s="19">
        <f t="shared" si="8"/>
        <v>-1.2448132780083</v>
      </c>
      <c r="N18" s="19">
        <f t="shared" si="9"/>
        <v>3.25286041440322</v>
      </c>
      <c r="O18" s="12">
        <f t="shared" si="10"/>
        <v>476</v>
      </c>
      <c r="P18" s="12">
        <f t="shared" si="11"/>
        <v>20193.640385</v>
      </c>
      <c r="Q18" s="12">
        <f t="shared" si="12"/>
        <v>-6</v>
      </c>
      <c r="R18" s="12">
        <f t="shared" si="13"/>
        <v>636.176984999998</v>
      </c>
      <c r="S18" s="12">
        <f t="shared" si="14"/>
        <v>-6</v>
      </c>
      <c r="T18" s="12">
        <f t="shared" si="15"/>
        <v>636.176984999998</v>
      </c>
      <c r="U18" s="19">
        <f t="shared" si="16"/>
        <v>-1.2448132780083</v>
      </c>
      <c r="V18" s="19">
        <f t="shared" si="17"/>
        <v>3.25286041440322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478</v>
      </c>
      <c r="AJ18" s="47">
        <v>20281.230126</v>
      </c>
      <c r="AK18" s="47">
        <v>478</v>
      </c>
      <c r="AL18" s="47">
        <v>20281.230126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441</v>
      </c>
      <c r="D19" s="12">
        <v>15476.812182</v>
      </c>
      <c r="E19" s="12">
        <f t="shared" si="1"/>
        <v>3</v>
      </c>
      <c r="F19" s="12">
        <f t="shared" si="2"/>
        <v>161.760319999999</v>
      </c>
      <c r="G19" s="12">
        <f t="shared" si="3"/>
        <v>9</v>
      </c>
      <c r="H19" s="12">
        <f t="shared" si="4"/>
        <v>846.46581</v>
      </c>
      <c r="I19" s="12">
        <f t="shared" si="5"/>
        <v>9</v>
      </c>
      <c r="J19" s="12">
        <f t="shared" si="6"/>
        <v>846.46581</v>
      </c>
      <c r="K19" s="12">
        <f t="shared" si="18"/>
        <v>-23</v>
      </c>
      <c r="L19" s="12">
        <f t="shared" si="7"/>
        <v>43.4858099999997</v>
      </c>
      <c r="M19" s="19">
        <f t="shared" si="8"/>
        <v>2.08333333333333</v>
      </c>
      <c r="N19" s="19">
        <f t="shared" si="9"/>
        <v>5.78568537256228</v>
      </c>
      <c r="O19" s="12">
        <f t="shared" si="10"/>
        <v>443</v>
      </c>
      <c r="P19" s="12">
        <f t="shared" si="11"/>
        <v>15493.110282</v>
      </c>
      <c r="Q19" s="12">
        <f t="shared" si="12"/>
        <v>11</v>
      </c>
      <c r="R19" s="12">
        <f t="shared" si="13"/>
        <v>862.76391</v>
      </c>
      <c r="S19" s="12">
        <f t="shared" si="14"/>
        <v>11</v>
      </c>
      <c r="T19" s="12">
        <f t="shared" si="15"/>
        <v>862.76391</v>
      </c>
      <c r="U19" s="19">
        <f t="shared" si="16"/>
        <v>2.5462962962963</v>
      </c>
      <c r="V19" s="19">
        <f t="shared" si="17"/>
        <v>5.89708464900861</v>
      </c>
      <c r="W19" s="12"/>
      <c r="X19" s="29"/>
      <c r="Y19" s="29"/>
      <c r="Z19" s="29"/>
      <c r="AA19" s="29">
        <v>2</v>
      </c>
      <c r="AB19" s="12">
        <v>16.2981</v>
      </c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438</v>
      </c>
      <c r="AJ19" s="47">
        <v>15315.051862</v>
      </c>
      <c r="AK19" s="47">
        <v>440</v>
      </c>
      <c r="AL19" s="47">
        <v>15331.349962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644</v>
      </c>
      <c r="D20" s="12">
        <v>19498.592072</v>
      </c>
      <c r="E20" s="12">
        <f t="shared" si="1"/>
        <v>-4</v>
      </c>
      <c r="F20" s="12">
        <f t="shared" si="2"/>
        <v>-0.551932000002125</v>
      </c>
      <c r="G20" s="12">
        <f t="shared" si="3"/>
        <v>33</v>
      </c>
      <c r="H20" s="12">
        <f t="shared" si="4"/>
        <v>1479.874468</v>
      </c>
      <c r="I20" s="12">
        <f t="shared" si="5"/>
        <v>33</v>
      </c>
      <c r="J20" s="12">
        <f t="shared" si="6"/>
        <v>1479.874468</v>
      </c>
      <c r="K20" s="12">
        <f t="shared" si="18"/>
        <v>-48</v>
      </c>
      <c r="L20" s="12">
        <f t="shared" si="7"/>
        <v>-736.775532000002</v>
      </c>
      <c r="M20" s="19">
        <f t="shared" si="8"/>
        <v>5.40098199672668</v>
      </c>
      <c r="N20" s="19">
        <f t="shared" si="9"/>
        <v>8.21298441167355</v>
      </c>
      <c r="O20" s="12">
        <f t="shared" si="10"/>
        <v>645</v>
      </c>
      <c r="P20" s="12">
        <f t="shared" si="11"/>
        <v>19528.092072</v>
      </c>
      <c r="Q20" s="12">
        <f t="shared" si="12"/>
        <v>34</v>
      </c>
      <c r="R20" s="12">
        <f t="shared" si="13"/>
        <v>1509.374468</v>
      </c>
      <c r="S20" s="12">
        <f t="shared" si="14"/>
        <v>34</v>
      </c>
      <c r="T20" s="12">
        <f t="shared" si="15"/>
        <v>1509.374468</v>
      </c>
      <c r="U20" s="19">
        <f t="shared" si="16"/>
        <v>5.56464811783961</v>
      </c>
      <c r="V20" s="19">
        <f t="shared" si="17"/>
        <v>8.37670305496619</v>
      </c>
      <c r="W20" s="12"/>
      <c r="X20" s="29"/>
      <c r="Y20" s="29"/>
      <c r="Z20" s="29"/>
      <c r="AA20" s="29">
        <v>1</v>
      </c>
      <c r="AB20" s="12">
        <v>29.5</v>
      </c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648</v>
      </c>
      <c r="AJ20" s="47">
        <v>19499.144004</v>
      </c>
      <c r="AK20" s="47">
        <v>649</v>
      </c>
      <c r="AL20" s="47">
        <v>19528.644004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454</v>
      </c>
      <c r="D21" s="12">
        <v>15097.467808</v>
      </c>
      <c r="E21" s="12">
        <f t="shared" si="1"/>
        <v>10</v>
      </c>
      <c r="F21" s="12">
        <f t="shared" si="2"/>
        <v>-29.4868999999999</v>
      </c>
      <c r="G21" s="12">
        <f t="shared" si="3"/>
        <v>16</v>
      </c>
      <c r="H21" s="12">
        <f t="shared" si="4"/>
        <v>-326.996465</v>
      </c>
      <c r="I21" s="12">
        <f t="shared" si="5"/>
        <v>16</v>
      </c>
      <c r="J21" s="12">
        <f t="shared" si="6"/>
        <v>-326.996465</v>
      </c>
      <c r="K21" s="12">
        <f t="shared" si="18"/>
        <v>-41</v>
      </c>
      <c r="L21" s="12">
        <f t="shared" si="7"/>
        <v>-1336.896465</v>
      </c>
      <c r="M21" s="19">
        <f t="shared" si="8"/>
        <v>3.65296803652968</v>
      </c>
      <c r="N21" s="19">
        <f t="shared" si="9"/>
        <v>-2.11998588224809</v>
      </c>
      <c r="O21" s="12">
        <f t="shared" si="10"/>
        <v>454</v>
      </c>
      <c r="P21" s="12">
        <f t="shared" si="11"/>
        <v>15097.467808</v>
      </c>
      <c r="Q21" s="12">
        <f t="shared" si="12"/>
        <v>16</v>
      </c>
      <c r="R21" s="12">
        <f t="shared" si="13"/>
        <v>-326.996465</v>
      </c>
      <c r="S21" s="30">
        <f t="shared" si="14"/>
        <v>16</v>
      </c>
      <c r="T21" s="12">
        <f t="shared" si="15"/>
        <v>-326.996465</v>
      </c>
      <c r="U21" s="19">
        <f t="shared" si="16"/>
        <v>3.65296803652968</v>
      </c>
      <c r="V21" s="19">
        <f t="shared" si="17"/>
        <v>-2.11998588224809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444</v>
      </c>
      <c r="AJ21" s="47">
        <v>15126.954708</v>
      </c>
      <c r="AK21" s="47">
        <v>444</v>
      </c>
      <c r="AL21" s="47">
        <v>15126.954708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729</v>
      </c>
      <c r="D22" s="12">
        <v>26315.413881</v>
      </c>
      <c r="E22" s="12">
        <f t="shared" si="1"/>
        <v>-1</v>
      </c>
      <c r="F22" s="12">
        <f t="shared" si="2"/>
        <v>66.8095119999998</v>
      </c>
      <c r="G22" s="12">
        <f t="shared" si="3"/>
        <v>55</v>
      </c>
      <c r="H22" s="12">
        <f t="shared" si="4"/>
        <v>2970.844913</v>
      </c>
      <c r="I22" s="12">
        <f t="shared" si="5"/>
        <v>55</v>
      </c>
      <c r="J22" s="12">
        <f t="shared" si="6"/>
        <v>2970.844913</v>
      </c>
      <c r="K22" s="12">
        <f t="shared" si="18"/>
        <v>-7</v>
      </c>
      <c r="L22" s="12">
        <f t="shared" si="7"/>
        <v>1691.924913</v>
      </c>
      <c r="M22" s="19">
        <f t="shared" si="8"/>
        <v>8.16023738872404</v>
      </c>
      <c r="N22" s="19">
        <f t="shared" si="9"/>
        <v>12.7260645380617</v>
      </c>
      <c r="O22" s="12">
        <f t="shared" si="10"/>
        <v>730</v>
      </c>
      <c r="P22" s="12">
        <f t="shared" si="11"/>
        <v>26410.413881</v>
      </c>
      <c r="Q22" s="12">
        <f t="shared" si="12"/>
        <v>56</v>
      </c>
      <c r="R22" s="12">
        <f t="shared" si="13"/>
        <v>3065.844913</v>
      </c>
      <c r="S22" s="12">
        <f t="shared" si="14"/>
        <v>56</v>
      </c>
      <c r="T22" s="12">
        <f t="shared" si="15"/>
        <v>3065.844913</v>
      </c>
      <c r="U22" s="19">
        <f t="shared" si="16"/>
        <v>8.30860534124629</v>
      </c>
      <c r="V22" s="19">
        <f t="shared" si="17"/>
        <v>13.1330114392027</v>
      </c>
      <c r="W22" s="12"/>
      <c r="X22" s="29"/>
      <c r="Y22" s="29"/>
      <c r="Z22" s="29"/>
      <c r="AA22" s="29">
        <v>1</v>
      </c>
      <c r="AB22" s="12">
        <v>95</v>
      </c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730</v>
      </c>
      <c r="AJ22" s="47">
        <v>26248.604369</v>
      </c>
      <c r="AK22" s="47">
        <v>731</v>
      </c>
      <c r="AL22" s="47">
        <v>26343.604369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744</v>
      </c>
      <c r="D23" s="12">
        <v>25397.602096</v>
      </c>
      <c r="E23" s="12">
        <f t="shared" si="1"/>
        <v>16</v>
      </c>
      <c r="F23" s="12">
        <f t="shared" si="2"/>
        <v>330.779699999999</v>
      </c>
      <c r="G23" s="12">
        <f t="shared" si="3"/>
        <v>44</v>
      </c>
      <c r="H23" s="12">
        <f t="shared" si="4"/>
        <v>-622.586490000002</v>
      </c>
      <c r="I23" s="12">
        <f t="shared" si="5"/>
        <v>44</v>
      </c>
      <c r="J23" s="12">
        <f t="shared" si="6"/>
        <v>-622.586490000002</v>
      </c>
      <c r="K23" s="12">
        <f t="shared" si="18"/>
        <v>2</v>
      </c>
      <c r="L23" s="12">
        <f t="shared" si="7"/>
        <v>-1150.99649</v>
      </c>
      <c r="M23" s="19">
        <f t="shared" si="8"/>
        <v>6.28571428571429</v>
      </c>
      <c r="N23" s="19">
        <f t="shared" si="9"/>
        <v>-2.39270552533574</v>
      </c>
      <c r="O23" s="12">
        <f t="shared" si="10"/>
        <v>744</v>
      </c>
      <c r="P23" s="12">
        <f t="shared" si="11"/>
        <v>25397.602096</v>
      </c>
      <c r="Q23" s="12">
        <f t="shared" si="12"/>
        <v>44</v>
      </c>
      <c r="R23" s="12">
        <f t="shared" si="13"/>
        <v>-622.586490000002</v>
      </c>
      <c r="S23" s="12">
        <f t="shared" si="14"/>
        <v>44</v>
      </c>
      <c r="T23" s="12">
        <f t="shared" si="15"/>
        <v>-622.586490000002</v>
      </c>
      <c r="U23" s="19">
        <f t="shared" si="16"/>
        <v>6.28571428571429</v>
      </c>
      <c r="V23" s="19">
        <f t="shared" si="17"/>
        <v>-2.39270552533574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728</v>
      </c>
      <c r="AJ23" s="47">
        <v>25066.822396</v>
      </c>
      <c r="AK23" s="47">
        <v>728</v>
      </c>
      <c r="AL23" s="47">
        <v>25066.822396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482</v>
      </c>
      <c r="D24" s="12">
        <v>15624.124725</v>
      </c>
      <c r="E24" s="12">
        <f t="shared" si="1"/>
        <v>2</v>
      </c>
      <c r="F24" s="12">
        <f t="shared" si="2"/>
        <v>94.9947250000005</v>
      </c>
      <c r="G24" s="12">
        <f t="shared" si="3"/>
        <v>11</v>
      </c>
      <c r="H24" s="12">
        <f t="shared" si="4"/>
        <v>1035.724725</v>
      </c>
      <c r="I24" s="12">
        <f t="shared" si="5"/>
        <v>11</v>
      </c>
      <c r="J24" s="12">
        <f t="shared" si="6"/>
        <v>1035.724725</v>
      </c>
      <c r="K24" s="12">
        <f t="shared" si="18"/>
        <v>-40</v>
      </c>
      <c r="L24" s="12">
        <f t="shared" si="7"/>
        <v>217.734725</v>
      </c>
      <c r="M24" s="19">
        <f t="shared" si="8"/>
        <v>2.33545647558386</v>
      </c>
      <c r="N24" s="19">
        <f t="shared" si="9"/>
        <v>7.09964578020893</v>
      </c>
      <c r="O24" s="12">
        <f t="shared" si="10"/>
        <v>482</v>
      </c>
      <c r="P24" s="12">
        <f t="shared" si="11"/>
        <v>15624.124725</v>
      </c>
      <c r="Q24" s="12">
        <f t="shared" si="12"/>
        <v>11</v>
      </c>
      <c r="R24" s="12">
        <f t="shared" si="13"/>
        <v>1035.724725</v>
      </c>
      <c r="S24" s="30">
        <f t="shared" si="14"/>
        <v>11</v>
      </c>
      <c r="T24" s="12">
        <f t="shared" si="15"/>
        <v>1035.724725</v>
      </c>
      <c r="U24" s="19">
        <f t="shared" si="16"/>
        <v>2.33545647558386</v>
      </c>
      <c r="V24" s="19">
        <f t="shared" si="17"/>
        <v>7.09964578020893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480</v>
      </c>
      <c r="AJ24" s="47">
        <v>15529.13</v>
      </c>
      <c r="AK24" s="47">
        <v>480</v>
      </c>
      <c r="AL24" s="47">
        <v>15529.13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499</v>
      </c>
      <c r="D25" s="12">
        <v>16128.625867</v>
      </c>
      <c r="E25" s="12">
        <f t="shared" si="1"/>
        <v>5</v>
      </c>
      <c r="F25" s="12">
        <f t="shared" si="2"/>
        <v>141.708642000001</v>
      </c>
      <c r="G25" s="12">
        <f t="shared" si="3"/>
        <v>17</v>
      </c>
      <c r="H25" s="12">
        <f t="shared" si="4"/>
        <v>1.74885100000029</v>
      </c>
      <c r="I25" s="12">
        <f t="shared" si="5"/>
        <v>17</v>
      </c>
      <c r="J25" s="12">
        <f t="shared" si="6"/>
        <v>1.74885100000029</v>
      </c>
      <c r="K25" s="12">
        <f t="shared" si="18"/>
        <v>-8</v>
      </c>
      <c r="L25" s="12">
        <f t="shared" si="7"/>
        <v>-879.431149</v>
      </c>
      <c r="M25" s="19">
        <f t="shared" si="8"/>
        <v>3.52697095435685</v>
      </c>
      <c r="N25" s="19">
        <f t="shared" si="9"/>
        <v>0.0108443252730531</v>
      </c>
      <c r="O25" s="12">
        <f t="shared" si="10"/>
        <v>500</v>
      </c>
      <c r="P25" s="12">
        <f t="shared" si="11"/>
        <v>16133.625867</v>
      </c>
      <c r="Q25" s="12">
        <f t="shared" si="12"/>
        <v>18</v>
      </c>
      <c r="R25" s="12">
        <f t="shared" si="13"/>
        <v>6.74885100000029</v>
      </c>
      <c r="S25" s="12">
        <f t="shared" si="14"/>
        <v>18</v>
      </c>
      <c r="T25" s="12">
        <f t="shared" si="15"/>
        <v>6.74885100000029</v>
      </c>
      <c r="U25" s="19">
        <f t="shared" si="16"/>
        <v>3.7344398340249</v>
      </c>
      <c r="V25" s="19">
        <f t="shared" si="17"/>
        <v>0.0418484682019</v>
      </c>
      <c r="W25" s="12"/>
      <c r="X25" s="29"/>
      <c r="Y25" s="29"/>
      <c r="Z25" s="29"/>
      <c r="AA25" s="29">
        <v>1</v>
      </c>
      <c r="AB25" s="12">
        <v>5</v>
      </c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494</v>
      </c>
      <c r="AJ25" s="47">
        <v>15986.917225</v>
      </c>
      <c r="AK25" s="47">
        <v>495</v>
      </c>
      <c r="AL25" s="47">
        <v>15991.917225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268</v>
      </c>
      <c r="D26" s="12">
        <v>10569.375358</v>
      </c>
      <c r="E26" s="12">
        <f t="shared" si="1"/>
        <v>-2</v>
      </c>
      <c r="F26" s="12">
        <f t="shared" si="2"/>
        <v>-2.08502700000099</v>
      </c>
      <c r="G26" s="12">
        <f t="shared" si="3"/>
        <v>-9</v>
      </c>
      <c r="H26" s="12">
        <f t="shared" si="4"/>
        <v>-253.050197</v>
      </c>
      <c r="I26" s="12">
        <f t="shared" si="5"/>
        <v>-9</v>
      </c>
      <c r="J26" s="12">
        <f t="shared" si="6"/>
        <v>-253.050197</v>
      </c>
      <c r="K26" s="12">
        <f t="shared" si="18"/>
        <v>-29</v>
      </c>
      <c r="L26" s="12">
        <f t="shared" si="7"/>
        <v>-957.060197</v>
      </c>
      <c r="M26" s="19">
        <f t="shared" si="8"/>
        <v>-3.24909747292419</v>
      </c>
      <c r="N26" s="19">
        <f t="shared" si="9"/>
        <v>-2.3382022423161</v>
      </c>
      <c r="O26" s="12">
        <f t="shared" si="10"/>
        <v>268</v>
      </c>
      <c r="P26" s="12">
        <f t="shared" si="11"/>
        <v>10569.375358</v>
      </c>
      <c r="Q26" s="12">
        <f t="shared" si="12"/>
        <v>-9</v>
      </c>
      <c r="R26" s="12">
        <f t="shared" si="13"/>
        <v>-253.050197</v>
      </c>
      <c r="S26" s="12">
        <f t="shared" si="14"/>
        <v>-9</v>
      </c>
      <c r="T26" s="12">
        <f t="shared" si="15"/>
        <v>-253.050197</v>
      </c>
      <c r="U26" s="19">
        <f t="shared" si="16"/>
        <v>-3.24909747292419</v>
      </c>
      <c r="V26" s="19">
        <f t="shared" si="17"/>
        <v>-2.3382022423161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270</v>
      </c>
      <c r="AJ26" s="47">
        <v>10571.460385</v>
      </c>
      <c r="AK26" s="47">
        <v>270</v>
      </c>
      <c r="AL26" s="47">
        <v>10571.460385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339</v>
      </c>
      <c r="D27" s="12">
        <v>11061.225435</v>
      </c>
      <c r="E27" s="12">
        <f t="shared" si="1"/>
        <v>-4</v>
      </c>
      <c r="F27" s="12">
        <f t="shared" si="2"/>
        <v>-31.2099999999991</v>
      </c>
      <c r="G27" s="12">
        <f t="shared" si="3"/>
        <v>11</v>
      </c>
      <c r="H27" s="12">
        <f t="shared" si="4"/>
        <v>-357.239524999999</v>
      </c>
      <c r="I27" s="12">
        <f t="shared" si="5"/>
        <v>11</v>
      </c>
      <c r="J27" s="12">
        <f t="shared" si="6"/>
        <v>-357.239524999999</v>
      </c>
      <c r="K27" s="12">
        <f t="shared" si="18"/>
        <v>-21</v>
      </c>
      <c r="L27" s="12">
        <f t="shared" si="7"/>
        <v>-981.509524999999</v>
      </c>
      <c r="M27" s="19">
        <f t="shared" si="8"/>
        <v>3.35365853658537</v>
      </c>
      <c r="N27" s="19">
        <f t="shared" si="9"/>
        <v>-3.12861252586441</v>
      </c>
      <c r="O27" s="12">
        <f t="shared" si="10"/>
        <v>340</v>
      </c>
      <c r="P27" s="12">
        <f t="shared" si="11"/>
        <v>11065.183635</v>
      </c>
      <c r="Q27" s="12">
        <f t="shared" si="12"/>
        <v>12</v>
      </c>
      <c r="R27" s="12">
        <f t="shared" si="13"/>
        <v>-353.281325</v>
      </c>
      <c r="S27" s="12">
        <f t="shared" si="14"/>
        <v>12</v>
      </c>
      <c r="T27" s="12">
        <f t="shared" si="15"/>
        <v>-353.281325</v>
      </c>
      <c r="U27" s="19">
        <f t="shared" si="16"/>
        <v>3.65853658536585</v>
      </c>
      <c r="V27" s="19">
        <f t="shared" si="17"/>
        <v>-3.09394762113453</v>
      </c>
      <c r="W27" s="12"/>
      <c r="X27" s="29"/>
      <c r="Y27" s="29"/>
      <c r="Z27" s="29"/>
      <c r="AA27" s="29">
        <v>1</v>
      </c>
      <c r="AB27" s="12">
        <v>3.9582</v>
      </c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343</v>
      </c>
      <c r="AJ27" s="47">
        <v>11092.435435</v>
      </c>
      <c r="AK27" s="47">
        <v>344</v>
      </c>
      <c r="AL27" s="47">
        <v>11096.393635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376</v>
      </c>
      <c r="D28" s="12">
        <v>20089.548009</v>
      </c>
      <c r="E28" s="12">
        <f t="shared" si="1"/>
        <v>3</v>
      </c>
      <c r="F28" s="12">
        <f t="shared" si="2"/>
        <v>68.2422019999976</v>
      </c>
      <c r="G28" s="12">
        <f t="shared" si="3"/>
        <v>14</v>
      </c>
      <c r="H28" s="12">
        <f t="shared" si="4"/>
        <v>37.7369689999978</v>
      </c>
      <c r="I28" s="12">
        <f t="shared" si="5"/>
        <v>14</v>
      </c>
      <c r="J28" s="12">
        <f t="shared" si="6"/>
        <v>37.7369689999978</v>
      </c>
      <c r="K28" s="12">
        <f t="shared" si="18"/>
        <v>-26</v>
      </c>
      <c r="L28" s="12">
        <f t="shared" si="7"/>
        <v>-842.993031000002</v>
      </c>
      <c r="M28" s="19">
        <f t="shared" si="8"/>
        <v>3.86740331491713</v>
      </c>
      <c r="N28" s="19">
        <f t="shared" si="9"/>
        <v>0.188197310081961</v>
      </c>
      <c r="O28" s="12">
        <f t="shared" si="10"/>
        <v>376</v>
      </c>
      <c r="P28" s="12">
        <f t="shared" si="11"/>
        <v>20089.548009</v>
      </c>
      <c r="Q28" s="12">
        <f t="shared" si="12"/>
        <v>14</v>
      </c>
      <c r="R28" s="12">
        <f t="shared" si="13"/>
        <v>37.7369689999978</v>
      </c>
      <c r="S28" s="12">
        <f t="shared" si="14"/>
        <v>14</v>
      </c>
      <c r="T28" s="12">
        <f t="shared" si="15"/>
        <v>37.7369689999978</v>
      </c>
      <c r="U28" s="19">
        <f t="shared" si="16"/>
        <v>3.86740331491713</v>
      </c>
      <c r="V28" s="19">
        <f t="shared" si="17"/>
        <v>0.188197310081961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373</v>
      </c>
      <c r="AJ28" s="47">
        <v>20021.305807</v>
      </c>
      <c r="AK28" s="47">
        <v>373</v>
      </c>
      <c r="AL28" s="47">
        <v>20021.305807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328</v>
      </c>
      <c r="D29" s="12">
        <v>11781.825974</v>
      </c>
      <c r="E29" s="12">
        <f t="shared" si="1"/>
        <v>1</v>
      </c>
      <c r="F29" s="12">
        <f t="shared" si="2"/>
        <v>-0.563980000000811</v>
      </c>
      <c r="G29" s="12">
        <f t="shared" si="3"/>
        <v>0</v>
      </c>
      <c r="H29" s="12">
        <f t="shared" si="4"/>
        <v>-212.836634000001</v>
      </c>
      <c r="I29" s="12">
        <f t="shared" si="5"/>
        <v>0</v>
      </c>
      <c r="J29" s="12">
        <f t="shared" si="6"/>
        <v>-212.836634000001</v>
      </c>
      <c r="K29" s="12">
        <f t="shared" si="18"/>
        <v>-35</v>
      </c>
      <c r="L29" s="12">
        <f t="shared" si="7"/>
        <v>-760.546634000002</v>
      </c>
      <c r="M29" s="19">
        <f t="shared" si="8"/>
        <v>0</v>
      </c>
      <c r="N29" s="19">
        <f t="shared" si="9"/>
        <v>-1.77442785141824</v>
      </c>
      <c r="O29" s="12">
        <f t="shared" si="10"/>
        <v>329</v>
      </c>
      <c r="P29" s="12">
        <f t="shared" si="11"/>
        <v>12281.825974</v>
      </c>
      <c r="Q29" s="12">
        <f t="shared" si="12"/>
        <v>1</v>
      </c>
      <c r="R29" s="12">
        <f t="shared" si="13"/>
        <v>287.163365999999</v>
      </c>
      <c r="S29" s="12">
        <f t="shared" si="14"/>
        <v>1</v>
      </c>
      <c r="T29" s="12">
        <f t="shared" si="15"/>
        <v>287.163365999999</v>
      </c>
      <c r="U29" s="19">
        <f t="shared" si="16"/>
        <v>0.304878048780488</v>
      </c>
      <c r="V29" s="19">
        <f t="shared" si="17"/>
        <v>2.39409290102476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327</v>
      </c>
      <c r="AJ29" s="47">
        <v>11782.389954</v>
      </c>
      <c r="AK29" s="47">
        <v>328</v>
      </c>
      <c r="AL29" s="47">
        <v>12282.389954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357</v>
      </c>
      <c r="D30" s="12">
        <v>9681.62685300001</v>
      </c>
      <c r="E30" s="12">
        <f t="shared" si="1"/>
        <v>-3</v>
      </c>
      <c r="F30" s="12">
        <f t="shared" si="2"/>
        <v>-229.608371999999</v>
      </c>
      <c r="G30" s="12">
        <f t="shared" si="3"/>
        <v>34</v>
      </c>
      <c r="H30" s="12">
        <f t="shared" si="4"/>
        <v>562.388703000011</v>
      </c>
      <c r="I30" s="12">
        <f t="shared" si="5"/>
        <v>34</v>
      </c>
      <c r="J30" s="12">
        <f t="shared" si="6"/>
        <v>562.388703000011</v>
      </c>
      <c r="K30" s="12">
        <f t="shared" si="18"/>
        <v>-61</v>
      </c>
      <c r="L30" s="12">
        <f t="shared" si="7"/>
        <v>-457.751296999989</v>
      </c>
      <c r="M30" s="19">
        <f t="shared" si="8"/>
        <v>10.5263157894737</v>
      </c>
      <c r="N30" s="19">
        <f t="shared" si="9"/>
        <v>6.16705796854325</v>
      </c>
      <c r="O30" s="12">
        <f t="shared" si="10"/>
        <v>359</v>
      </c>
      <c r="P30" s="12">
        <f t="shared" si="11"/>
        <v>9716.22685300001</v>
      </c>
      <c r="Q30" s="12">
        <f t="shared" si="12"/>
        <v>36</v>
      </c>
      <c r="R30" s="12">
        <f t="shared" si="13"/>
        <v>596.988703000012</v>
      </c>
      <c r="S30" s="12">
        <f t="shared" si="14"/>
        <v>36</v>
      </c>
      <c r="T30" s="12">
        <f t="shared" si="15"/>
        <v>596.988703000012</v>
      </c>
      <c r="U30" s="19">
        <f t="shared" si="16"/>
        <v>11.1455108359133</v>
      </c>
      <c r="V30" s="19">
        <f t="shared" si="17"/>
        <v>6.54647562855908</v>
      </c>
      <c r="W30" s="12"/>
      <c r="X30" s="29"/>
      <c r="Y30" s="29"/>
      <c r="Z30" s="29"/>
      <c r="AA30" s="29">
        <v>2</v>
      </c>
      <c r="AB30" s="12">
        <v>34.6</v>
      </c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360</v>
      </c>
      <c r="AJ30" s="47">
        <v>9911.23522500001</v>
      </c>
      <c r="AK30" s="47">
        <v>362</v>
      </c>
      <c r="AL30" s="47">
        <v>9945.83522500001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363</v>
      </c>
      <c r="D31" s="12">
        <v>10182.554994</v>
      </c>
      <c r="E31" s="12">
        <f t="shared" si="1"/>
        <v>2</v>
      </c>
      <c r="F31" s="12">
        <f t="shared" si="2"/>
        <v>42.5200000000004</v>
      </c>
      <c r="G31" s="12">
        <f t="shared" si="3"/>
        <v>-2</v>
      </c>
      <c r="H31" s="12">
        <f t="shared" si="4"/>
        <v>-898.954741</v>
      </c>
      <c r="I31" s="12">
        <f t="shared" si="5"/>
        <v>-2</v>
      </c>
      <c r="J31" s="12">
        <f t="shared" si="6"/>
        <v>-898.954741</v>
      </c>
      <c r="K31" s="12">
        <f t="shared" si="18"/>
        <v>-50</v>
      </c>
      <c r="L31" s="12">
        <f t="shared" si="7"/>
        <v>-1408.924741</v>
      </c>
      <c r="M31" s="19">
        <f t="shared" si="8"/>
        <v>-0.547945205479452</v>
      </c>
      <c r="N31" s="19">
        <f t="shared" si="9"/>
        <v>-8.11220458671555</v>
      </c>
      <c r="O31" s="12">
        <f t="shared" si="10"/>
        <v>365</v>
      </c>
      <c r="P31" s="12">
        <f t="shared" si="11"/>
        <v>10200.327694</v>
      </c>
      <c r="Q31" s="12">
        <f t="shared" si="12"/>
        <v>0</v>
      </c>
      <c r="R31" s="12">
        <f t="shared" si="13"/>
        <v>-881.182041</v>
      </c>
      <c r="S31" s="12">
        <f t="shared" si="14"/>
        <v>0</v>
      </c>
      <c r="T31" s="12">
        <f t="shared" si="15"/>
        <v>-881.182041</v>
      </c>
      <c r="U31" s="19">
        <f t="shared" si="16"/>
        <v>0</v>
      </c>
      <c r="V31" s="19">
        <f t="shared" si="17"/>
        <v>-7.95182301033281</v>
      </c>
      <c r="W31" s="12"/>
      <c r="X31" s="29"/>
      <c r="Y31" s="29"/>
      <c r="Z31" s="29"/>
      <c r="AA31" s="29">
        <v>2</v>
      </c>
      <c r="AB31" s="12">
        <v>17.7727</v>
      </c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361</v>
      </c>
      <c r="AJ31" s="47">
        <v>10140.034994</v>
      </c>
      <c r="AK31" s="47">
        <v>363</v>
      </c>
      <c r="AL31" s="47">
        <v>10157.807694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523</v>
      </c>
      <c r="D32" s="12">
        <v>13104.171844</v>
      </c>
      <c r="E32" s="12">
        <f t="shared" si="1"/>
        <v>1</v>
      </c>
      <c r="F32" s="12">
        <f t="shared" si="2"/>
        <v>-38.1533779999991</v>
      </c>
      <c r="G32" s="12">
        <f t="shared" si="3"/>
        <v>23</v>
      </c>
      <c r="H32" s="12">
        <f t="shared" si="4"/>
        <v>653.506342000001</v>
      </c>
      <c r="I32" s="12">
        <f t="shared" si="5"/>
        <v>23</v>
      </c>
      <c r="J32" s="12">
        <f t="shared" si="6"/>
        <v>653.506342000001</v>
      </c>
      <c r="K32" s="12">
        <f t="shared" si="18"/>
        <v>-37</v>
      </c>
      <c r="L32" s="12">
        <f t="shared" si="7"/>
        <v>301.616342000002</v>
      </c>
      <c r="M32" s="19">
        <f t="shared" si="8"/>
        <v>4.6</v>
      </c>
      <c r="N32" s="19">
        <f t="shared" si="9"/>
        <v>5.24876635626445</v>
      </c>
      <c r="O32" s="12">
        <f t="shared" si="10"/>
        <v>523</v>
      </c>
      <c r="P32" s="12">
        <f t="shared" si="11"/>
        <v>13104.171844</v>
      </c>
      <c r="Q32" s="12">
        <f t="shared" si="12"/>
        <v>23</v>
      </c>
      <c r="R32" s="12">
        <f t="shared" si="13"/>
        <v>653.506342000001</v>
      </c>
      <c r="S32" s="30">
        <f t="shared" si="14"/>
        <v>23</v>
      </c>
      <c r="T32" s="12">
        <f t="shared" si="15"/>
        <v>653.506342000001</v>
      </c>
      <c r="U32" s="19">
        <f t="shared" si="16"/>
        <v>4.6</v>
      </c>
      <c r="V32" s="19">
        <f t="shared" si="17"/>
        <v>5.24876635626445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522</v>
      </c>
      <c r="AJ32" s="47">
        <v>13142.325222</v>
      </c>
      <c r="AK32" s="47">
        <v>522</v>
      </c>
      <c r="AL32" s="47">
        <v>13142.325222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2127</v>
      </c>
      <c r="D33" s="12">
        <v>97601.440379</v>
      </c>
      <c r="E33" s="12">
        <f t="shared" si="1"/>
        <v>-1</v>
      </c>
      <c r="F33" s="12">
        <f t="shared" si="2"/>
        <v>399.093512000109</v>
      </c>
      <c r="G33" s="12">
        <f t="shared" si="3"/>
        <v>-13</v>
      </c>
      <c r="H33" s="12">
        <f t="shared" si="4"/>
        <v>-1125.3894649999</v>
      </c>
      <c r="I33" s="12">
        <f t="shared" si="5"/>
        <v>-13</v>
      </c>
      <c r="J33" s="12">
        <f t="shared" si="6"/>
        <v>-1125.3894649999</v>
      </c>
      <c r="K33" s="12">
        <f t="shared" si="18"/>
        <v>-44</v>
      </c>
      <c r="L33" s="12">
        <f t="shared" si="7"/>
        <v>215.530535000102</v>
      </c>
      <c r="M33" s="19">
        <f t="shared" si="8"/>
        <v>-0.607476635514019</v>
      </c>
      <c r="N33" s="19">
        <f t="shared" si="9"/>
        <v>-1.1399023616763</v>
      </c>
      <c r="O33" s="12">
        <f t="shared" si="10"/>
        <v>2132</v>
      </c>
      <c r="P33" s="12">
        <f t="shared" si="11"/>
        <v>97731.741779</v>
      </c>
      <c r="Q33" s="12">
        <f t="shared" si="12"/>
        <v>-8</v>
      </c>
      <c r="R33" s="12">
        <f t="shared" si="13"/>
        <v>-995.088064999902</v>
      </c>
      <c r="S33" s="30">
        <f t="shared" si="14"/>
        <v>-8</v>
      </c>
      <c r="T33" s="12">
        <f t="shared" si="15"/>
        <v>-995.088064999902</v>
      </c>
      <c r="U33" s="19">
        <f t="shared" si="16"/>
        <v>-0.373831775700935</v>
      </c>
      <c r="V33" s="19">
        <f t="shared" si="17"/>
        <v>-1.00792060939489</v>
      </c>
      <c r="W33" s="12"/>
      <c r="X33" s="29"/>
      <c r="Y33" s="29"/>
      <c r="Z33" s="29"/>
      <c r="AA33" s="29">
        <v>5</v>
      </c>
      <c r="AB33" s="12">
        <v>130.3014</v>
      </c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2128</v>
      </c>
      <c r="AJ33" s="47">
        <v>97202.3468669999</v>
      </c>
      <c r="AK33" s="47">
        <v>2133</v>
      </c>
      <c r="AL33" s="47">
        <v>97332.6482669999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621</v>
      </c>
      <c r="D34" s="12">
        <v>28148.073833</v>
      </c>
      <c r="E34" s="12">
        <f t="shared" si="1"/>
        <v>0</v>
      </c>
      <c r="F34" s="12">
        <f t="shared" si="2"/>
        <v>142.595484999998</v>
      </c>
      <c r="G34" s="12">
        <f t="shared" si="3"/>
        <v>12</v>
      </c>
      <c r="H34" s="12">
        <f t="shared" si="4"/>
        <v>867.370022999999</v>
      </c>
      <c r="I34" s="12">
        <f t="shared" si="5"/>
        <v>12</v>
      </c>
      <c r="J34" s="12">
        <f t="shared" si="6"/>
        <v>867.370022999999</v>
      </c>
      <c r="K34" s="12">
        <f t="shared" si="18"/>
        <v>-20</v>
      </c>
      <c r="L34" s="12">
        <f t="shared" si="7"/>
        <v>-388.149977</v>
      </c>
      <c r="M34" s="19">
        <f t="shared" si="8"/>
        <v>1.97044334975369</v>
      </c>
      <c r="N34" s="19">
        <f t="shared" si="9"/>
        <v>3.17942685438364</v>
      </c>
      <c r="O34" s="12">
        <f t="shared" si="10"/>
        <v>621</v>
      </c>
      <c r="P34" s="12">
        <f t="shared" si="11"/>
        <v>28148.073833</v>
      </c>
      <c r="Q34" s="12">
        <f t="shared" si="12"/>
        <v>12</v>
      </c>
      <c r="R34" s="12">
        <f t="shared" si="13"/>
        <v>867.370022999999</v>
      </c>
      <c r="S34" s="12">
        <f t="shared" si="14"/>
        <v>12</v>
      </c>
      <c r="T34" s="12">
        <f t="shared" si="15"/>
        <v>867.370022999999</v>
      </c>
      <c r="U34" s="19">
        <f t="shared" si="16"/>
        <v>1.97044334975369</v>
      </c>
      <c r="V34" s="19">
        <f t="shared" si="17"/>
        <v>3.17942685438364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621</v>
      </c>
      <c r="AJ34" s="47">
        <v>28005.478348</v>
      </c>
      <c r="AK34" s="47">
        <v>621</v>
      </c>
      <c r="AL34" s="47">
        <v>28005.478348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2491</v>
      </c>
      <c r="D35" s="12">
        <v>97056</v>
      </c>
      <c r="E35" s="12">
        <f t="shared" si="1"/>
        <v>7</v>
      </c>
      <c r="F35" s="12">
        <f t="shared" si="2"/>
        <v>-79</v>
      </c>
      <c r="G35" s="12">
        <f t="shared" si="3"/>
        <v>-30</v>
      </c>
      <c r="H35" s="12">
        <f t="shared" si="4"/>
        <v>-348</v>
      </c>
      <c r="I35" s="12">
        <f t="shared" si="5"/>
        <v>-30</v>
      </c>
      <c r="J35" s="12">
        <f t="shared" si="6"/>
        <v>-348</v>
      </c>
      <c r="K35" s="12">
        <f t="shared" si="18"/>
        <v>-153</v>
      </c>
      <c r="L35" s="12">
        <f t="shared" si="7"/>
        <v>-5662</v>
      </c>
      <c r="M35" s="19">
        <f t="shared" si="8"/>
        <v>-1.19000396667989</v>
      </c>
      <c r="N35" s="19">
        <f t="shared" si="9"/>
        <v>-0.357274855242085</v>
      </c>
      <c r="O35" s="12">
        <f t="shared" si="10"/>
        <v>2496</v>
      </c>
      <c r="P35" s="12">
        <f t="shared" si="11"/>
        <v>97214.284</v>
      </c>
      <c r="Q35" s="12">
        <f t="shared" si="12"/>
        <v>-25</v>
      </c>
      <c r="R35" s="12">
        <f t="shared" si="13"/>
        <v>-189.716</v>
      </c>
      <c r="S35" s="12">
        <f t="shared" si="14"/>
        <v>-25</v>
      </c>
      <c r="T35" s="12">
        <f t="shared" si="15"/>
        <v>-189.716</v>
      </c>
      <c r="U35" s="19">
        <f t="shared" si="16"/>
        <v>-0.991669972233241</v>
      </c>
      <c r="V35" s="19">
        <f t="shared" si="17"/>
        <v>-0.194772288612378</v>
      </c>
      <c r="W35" s="12"/>
      <c r="X35" s="29"/>
      <c r="Y35" s="29"/>
      <c r="Z35" s="29"/>
      <c r="AA35" s="29">
        <v>5</v>
      </c>
      <c r="AB35" s="12">
        <v>158.284</v>
      </c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2484</v>
      </c>
      <c r="AJ35" s="47">
        <v>97135</v>
      </c>
      <c r="AK35" s="47">
        <v>2489</v>
      </c>
      <c r="AL35" s="47">
        <v>97293.284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2533</v>
      </c>
      <c r="D36" s="12">
        <v>84033</v>
      </c>
      <c r="E36" s="12">
        <f t="shared" si="1"/>
        <v>2</v>
      </c>
      <c r="F36" s="12">
        <f t="shared" si="2"/>
        <v>71</v>
      </c>
      <c r="G36" s="12">
        <f t="shared" si="3"/>
        <v>-10</v>
      </c>
      <c r="H36" s="12">
        <f t="shared" si="4"/>
        <v>-532</v>
      </c>
      <c r="I36" s="12">
        <f t="shared" si="5"/>
        <v>-10</v>
      </c>
      <c r="J36" s="12">
        <f t="shared" si="6"/>
        <v>-532</v>
      </c>
      <c r="K36" s="12">
        <f t="shared" si="18"/>
        <v>-13</v>
      </c>
      <c r="L36" s="12">
        <f t="shared" si="7"/>
        <v>-538</v>
      </c>
      <c r="M36" s="19">
        <f t="shared" si="8"/>
        <v>-0.393236335037357</v>
      </c>
      <c r="N36" s="19">
        <f t="shared" si="9"/>
        <v>-0.629101874297877</v>
      </c>
      <c r="O36" s="12">
        <f t="shared" si="10"/>
        <v>2533</v>
      </c>
      <c r="P36" s="12">
        <f t="shared" si="11"/>
        <v>84033</v>
      </c>
      <c r="Q36" s="12">
        <f t="shared" si="12"/>
        <v>-10</v>
      </c>
      <c r="R36" s="12">
        <f t="shared" si="13"/>
        <v>-532</v>
      </c>
      <c r="S36" s="12">
        <f t="shared" si="14"/>
        <v>-10</v>
      </c>
      <c r="T36" s="12">
        <f t="shared" si="15"/>
        <v>-532</v>
      </c>
      <c r="U36" s="19">
        <f t="shared" si="16"/>
        <v>-0.393236335037357</v>
      </c>
      <c r="V36" s="19">
        <f t="shared" si="17"/>
        <v>-0.629101874297877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2531</v>
      </c>
      <c r="AJ36" s="47">
        <v>83962</v>
      </c>
      <c r="AK36" s="47">
        <v>2531</v>
      </c>
      <c r="AL36" s="47">
        <v>83962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307</v>
      </c>
      <c r="D37" s="12">
        <v>13461.078856</v>
      </c>
      <c r="E37" s="12">
        <f t="shared" si="1"/>
        <v>0</v>
      </c>
      <c r="F37" s="12">
        <f t="shared" si="2"/>
        <v>10.5799999999999</v>
      </c>
      <c r="G37" s="12">
        <f t="shared" si="3"/>
        <v>14</v>
      </c>
      <c r="H37" s="12">
        <f t="shared" si="4"/>
        <v>-192.1</v>
      </c>
      <c r="I37" s="12">
        <f t="shared" si="5"/>
        <v>14</v>
      </c>
      <c r="J37" s="12">
        <f t="shared" si="6"/>
        <v>-192.1</v>
      </c>
      <c r="K37" s="12">
        <f t="shared" si="18"/>
        <v>-30</v>
      </c>
      <c r="L37" s="12">
        <f t="shared" si="7"/>
        <v>-1197.71</v>
      </c>
      <c r="M37" s="19">
        <f t="shared" si="8"/>
        <v>4.77815699658703</v>
      </c>
      <c r="N37" s="19">
        <f t="shared" si="9"/>
        <v>-1.40699834101697</v>
      </c>
      <c r="O37" s="12">
        <f t="shared" si="10"/>
        <v>307</v>
      </c>
      <c r="P37" s="12">
        <f t="shared" si="11"/>
        <v>13461.078856</v>
      </c>
      <c r="Q37" s="12">
        <f t="shared" si="12"/>
        <v>14</v>
      </c>
      <c r="R37" s="12">
        <f t="shared" si="13"/>
        <v>-192.1</v>
      </c>
      <c r="S37" s="12">
        <f t="shared" si="14"/>
        <v>14</v>
      </c>
      <c r="T37" s="12">
        <f t="shared" si="15"/>
        <v>-192.1</v>
      </c>
      <c r="U37" s="19">
        <f t="shared" si="16"/>
        <v>4.77815699658703</v>
      </c>
      <c r="V37" s="19">
        <f t="shared" si="17"/>
        <v>-1.40699834101697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307</v>
      </c>
      <c r="AJ37" s="47">
        <v>13450.498856</v>
      </c>
      <c r="AK37" s="47">
        <v>307</v>
      </c>
      <c r="AL37" s="47">
        <v>13450.498856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436</v>
      </c>
      <c r="D38" s="12">
        <v>19118.095598</v>
      </c>
      <c r="E38" s="12">
        <f t="shared" si="1"/>
        <v>-3</v>
      </c>
      <c r="F38" s="12">
        <f t="shared" si="2"/>
        <v>72.4314019999983</v>
      </c>
      <c r="G38" s="12">
        <f t="shared" si="3"/>
        <v>-8</v>
      </c>
      <c r="H38" s="12">
        <f t="shared" si="4"/>
        <v>-610.629504</v>
      </c>
      <c r="I38" s="12">
        <f t="shared" si="5"/>
        <v>-8</v>
      </c>
      <c r="J38" s="12">
        <f t="shared" si="6"/>
        <v>-610.629504</v>
      </c>
      <c r="K38" s="12">
        <f t="shared" si="18"/>
        <v>-48</v>
      </c>
      <c r="L38" s="12">
        <f t="shared" si="7"/>
        <v>-1629.629504</v>
      </c>
      <c r="M38" s="19">
        <f t="shared" si="8"/>
        <v>-1.8018018018018</v>
      </c>
      <c r="N38" s="19">
        <f t="shared" si="9"/>
        <v>-3.0951290610162</v>
      </c>
      <c r="O38" s="12">
        <f t="shared" si="10"/>
        <v>436</v>
      </c>
      <c r="P38" s="12">
        <f t="shared" si="11"/>
        <v>19118.095598</v>
      </c>
      <c r="Q38" s="12">
        <f t="shared" si="12"/>
        <v>-8</v>
      </c>
      <c r="R38" s="12">
        <f t="shared" si="13"/>
        <v>-610.629504</v>
      </c>
      <c r="S38" s="12">
        <f t="shared" si="14"/>
        <v>-8</v>
      </c>
      <c r="T38" s="12">
        <f t="shared" si="15"/>
        <v>-610.629504</v>
      </c>
      <c r="U38" s="19">
        <f t="shared" si="16"/>
        <v>-1.8018018018018</v>
      </c>
      <c r="V38" s="19">
        <f t="shared" si="17"/>
        <v>-3.0951290610162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439</v>
      </c>
      <c r="AJ38" s="47">
        <v>19045.664196</v>
      </c>
      <c r="AK38" s="47">
        <v>439</v>
      </c>
      <c r="AL38" s="47">
        <v>19045.664196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424</v>
      </c>
      <c r="D39" s="12">
        <v>18934.634804</v>
      </c>
      <c r="E39" s="12">
        <f t="shared" si="1"/>
        <v>0</v>
      </c>
      <c r="F39" s="12">
        <f t="shared" si="2"/>
        <v>109.382361</v>
      </c>
      <c r="G39" s="12">
        <f t="shared" si="3"/>
        <v>20</v>
      </c>
      <c r="H39" s="12">
        <f t="shared" si="4"/>
        <v>1376.196321</v>
      </c>
      <c r="I39" s="12">
        <f t="shared" si="5"/>
        <v>20</v>
      </c>
      <c r="J39" s="12">
        <f t="shared" si="6"/>
        <v>1376.196321</v>
      </c>
      <c r="K39" s="12">
        <f t="shared" si="18"/>
        <v>2</v>
      </c>
      <c r="L39" s="12">
        <f t="shared" si="7"/>
        <v>375.016320999999</v>
      </c>
      <c r="M39" s="19">
        <f t="shared" si="8"/>
        <v>4.95049504950495</v>
      </c>
      <c r="N39" s="19">
        <f t="shared" si="9"/>
        <v>7.83780586373</v>
      </c>
      <c r="O39" s="12">
        <f t="shared" si="10"/>
        <v>424</v>
      </c>
      <c r="P39" s="12">
        <f t="shared" si="11"/>
        <v>18934.634804</v>
      </c>
      <c r="Q39" s="12">
        <f t="shared" si="12"/>
        <v>20</v>
      </c>
      <c r="R39" s="12">
        <f t="shared" si="13"/>
        <v>1376.196321</v>
      </c>
      <c r="S39" s="12">
        <f t="shared" si="14"/>
        <v>20</v>
      </c>
      <c r="T39" s="12">
        <f t="shared" si="15"/>
        <v>1376.196321</v>
      </c>
      <c r="U39" s="19">
        <f t="shared" si="16"/>
        <v>4.95049504950495</v>
      </c>
      <c r="V39" s="19">
        <f t="shared" si="17"/>
        <v>7.83780586373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424</v>
      </c>
      <c r="AJ39" s="47">
        <v>18825.252443</v>
      </c>
      <c r="AK39" s="47">
        <v>424</v>
      </c>
      <c r="AL39" s="47">
        <v>18825.252443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337</v>
      </c>
      <c r="D40" s="12">
        <v>434495.884804</v>
      </c>
      <c r="E40" s="12">
        <f t="shared" si="1"/>
        <v>0</v>
      </c>
      <c r="F40" s="12">
        <f t="shared" si="2"/>
        <v>1000</v>
      </c>
      <c r="G40" s="12">
        <f t="shared" si="3"/>
        <v>13</v>
      </c>
      <c r="H40" s="12">
        <f t="shared" si="4"/>
        <v>15864.91</v>
      </c>
      <c r="I40" s="12">
        <f t="shared" si="5"/>
        <v>13</v>
      </c>
      <c r="J40" s="12">
        <f t="shared" si="6"/>
        <v>15864.91</v>
      </c>
      <c r="K40" s="12">
        <f t="shared" si="18"/>
        <v>2</v>
      </c>
      <c r="L40" s="12">
        <f t="shared" si="7"/>
        <v>6641.93999999994</v>
      </c>
      <c r="M40" s="19">
        <f t="shared" si="8"/>
        <v>4.01234567901235</v>
      </c>
      <c r="N40" s="19">
        <f t="shared" si="9"/>
        <v>3.7897124089845</v>
      </c>
      <c r="O40" s="12">
        <f t="shared" si="10"/>
        <v>336</v>
      </c>
      <c r="P40" s="12">
        <f t="shared" si="11"/>
        <v>433995.884804</v>
      </c>
      <c r="Q40" s="12">
        <f t="shared" si="12"/>
        <v>12</v>
      </c>
      <c r="R40" s="12">
        <f t="shared" si="13"/>
        <v>15364.91</v>
      </c>
      <c r="S40" s="12">
        <f t="shared" si="14"/>
        <v>12</v>
      </c>
      <c r="T40" s="12">
        <f t="shared" si="15"/>
        <v>15364.91</v>
      </c>
      <c r="U40" s="19">
        <f t="shared" si="16"/>
        <v>3.7037037037037</v>
      </c>
      <c r="V40" s="19">
        <f t="shared" si="17"/>
        <v>3.67027547524254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337</v>
      </c>
      <c r="AJ40" s="47">
        <v>433495.884804</v>
      </c>
      <c r="AK40" s="47">
        <v>336</v>
      </c>
      <c r="AL40" s="47">
        <v>432995.884804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385</v>
      </c>
      <c r="D41" s="12">
        <v>18279.577168</v>
      </c>
      <c r="E41" s="12">
        <f t="shared" si="1"/>
        <v>0</v>
      </c>
      <c r="F41" s="12">
        <f t="shared" si="2"/>
        <v>-58.7750149999993</v>
      </c>
      <c r="G41" s="12">
        <f t="shared" si="3"/>
        <v>33</v>
      </c>
      <c r="H41" s="12">
        <f t="shared" si="4"/>
        <v>673.751053</v>
      </c>
      <c r="I41" s="12">
        <f t="shared" si="5"/>
        <v>33</v>
      </c>
      <c r="J41" s="12">
        <f t="shared" si="6"/>
        <v>673.751053</v>
      </c>
      <c r="K41" s="12">
        <f t="shared" si="18"/>
        <v>-1</v>
      </c>
      <c r="L41" s="12">
        <f t="shared" si="7"/>
        <v>-247.008947000002</v>
      </c>
      <c r="M41" s="19">
        <f t="shared" si="8"/>
        <v>9.375</v>
      </c>
      <c r="N41" s="19">
        <f t="shared" si="9"/>
        <v>3.82686417893205</v>
      </c>
      <c r="O41" s="12">
        <f>C41+W41+AA41-AC41+Y41</f>
        <v>350</v>
      </c>
      <c r="P41" s="12">
        <f>D41+X41+AB41-AD41+Z41</f>
        <v>17443.709668</v>
      </c>
      <c r="Q41" s="12">
        <f t="shared" si="12"/>
        <v>-2</v>
      </c>
      <c r="R41" s="12">
        <f t="shared" si="13"/>
        <v>-162.116447</v>
      </c>
      <c r="S41" s="12">
        <f t="shared" si="14"/>
        <v>-2</v>
      </c>
      <c r="T41" s="12">
        <f t="shared" si="15"/>
        <v>-162.116447</v>
      </c>
      <c r="U41" s="19">
        <f t="shared" si="16"/>
        <v>-0.568181818181818</v>
      </c>
      <c r="V41" s="19">
        <f t="shared" si="17"/>
        <v>-0.9208113606318</v>
      </c>
      <c r="W41" s="12"/>
      <c r="X41" s="29"/>
      <c r="Y41" s="29"/>
      <c r="Z41" s="29"/>
      <c r="AA41" s="12">
        <f>-SUM(AA7:AA40)</f>
        <v>-35</v>
      </c>
      <c r="AB41" s="12">
        <f>-SUM(AB7:AB40)</f>
        <v>-835.8675</v>
      </c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385</v>
      </c>
      <c r="AJ41" s="47">
        <v>18338.352183</v>
      </c>
      <c r="AK41" s="47">
        <v>350</v>
      </c>
      <c r="AL41" s="47">
        <v>17502.484683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1762643</v>
      </c>
      <c r="E42" s="16"/>
      <c r="F42" s="12">
        <v>577</v>
      </c>
      <c r="G42" s="16"/>
      <c r="H42" s="12">
        <v>24701</v>
      </c>
      <c r="I42" s="16"/>
      <c r="J42" s="12">
        <v>24701</v>
      </c>
      <c r="K42" s="12"/>
      <c r="L42" s="12"/>
      <c r="M42" s="20"/>
      <c r="N42" s="19">
        <v>1.42</v>
      </c>
      <c r="O42" s="12" t="s">
        <v>65</v>
      </c>
      <c r="P42" s="12">
        <v>347653</v>
      </c>
      <c r="Q42" s="16"/>
      <c r="R42" s="12">
        <v>3153</v>
      </c>
      <c r="S42" s="16"/>
      <c r="T42" s="12">
        <v>3153</v>
      </c>
      <c r="U42" s="16"/>
      <c r="V42" s="19">
        <v>0.92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2026-01-26T00:53:21Z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