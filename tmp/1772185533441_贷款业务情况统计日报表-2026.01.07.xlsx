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<sst xmlns="http://schemas.openxmlformats.org/spreadsheetml/2006/main" count="139" uniqueCount="66">
  <si>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</si>
  <si>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2026.01.07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</si>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</sst>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24903</v>
      </c>
      <c r="D6" s="12">
        <f>SUM(D7:D41)</f>
        <v>1398010.592175</v>
      </c>
      <c r="E6" s="12">
        <f>C6-AI6</f>
        <v>5</v>
      </c>
      <c r="F6" s="12">
        <f>D6-AJ6</f>
        <v>4816.75687700021</v>
      </c>
      <c r="G6" s="12">
        <f>C6-AM6</f>
        <v>312</v>
      </c>
      <c r="H6" s="12">
        <f>D6-AN6</f>
        <v>4569.04618800012</v>
      </c>
      <c r="I6" s="12">
        <f>C6-AE6</f>
        <v>312</v>
      </c>
      <c r="J6" s="12">
        <f>D6-AF6</f>
        <v>4569.04618800012</v>
      </c>
      <c r="K6" s="12">
        <f>I6-AS6</f>
        <v>-1220</v>
      </c>
      <c r="L6" s="12">
        <f>J6-AT6</f>
        <v>-39281.4438119997</v>
      </c>
      <c r="M6" s="19">
        <f>I6/AE6*100</f>
        <v>1.26875686226668</v>
      </c>
      <c r="N6" s="19">
        <f>J6/AF6*100</f>
        <v>0.327896509269342</v>
      </c>
      <c r="O6" s="12">
        <f>C6+Y6</f>
        <v>24903</v>
      </c>
      <c r="P6" s="12">
        <f>D6+Z6</f>
        <v>1398010.592175</v>
      </c>
      <c r="Q6" s="12">
        <f>O6-AO6</f>
        <v>312</v>
      </c>
      <c r="R6" s="12">
        <f>P6-AP6</f>
        <v>4569.04618800012</v>
      </c>
      <c r="S6" s="30">
        <f>O6-AG6</f>
        <v>312</v>
      </c>
      <c r="T6" s="12">
        <f>P6-AH6</f>
        <v>4569.04618800012</v>
      </c>
      <c r="U6" s="19">
        <f>S6/AG6*100</f>
        <v>1.26875686226668</v>
      </c>
      <c r="V6" s="19">
        <f>T6/AH6*100</f>
        <v>0.327896509269342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24898</v>
      </c>
      <c r="AJ6" s="47">
        <v>1393193.835298</v>
      </c>
      <c r="AK6" s="47">
        <v>24898</v>
      </c>
      <c r="AL6" s="48">
        <v>1393193.835298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1649</v>
      </c>
      <c r="D7" s="12">
        <v>81121.928299</v>
      </c>
      <c r="E7" s="12">
        <f>C7-AI7</f>
        <v>-2</v>
      </c>
      <c r="F7" s="12">
        <f>D7-AJ7</f>
        <v>-85.2168799999927</v>
      </c>
      <c r="G7" s="12">
        <f>C7-AM7</f>
        <v>-8</v>
      </c>
      <c r="H7" s="12">
        <f>D7-AN7</f>
        <v>-1287.987597</v>
      </c>
      <c r="I7" s="12">
        <f>C7-AE7</f>
        <v>-8</v>
      </c>
      <c r="J7" s="12">
        <f>D7-AF7</f>
        <v>-1287.987597</v>
      </c>
      <c r="K7" s="12">
        <f t="shared" ref="K6:K12" si="0">I7-AS7</f>
        <v>-39</v>
      </c>
      <c r="L7" s="12">
        <f>J7-AT7</f>
        <v>-2795.52759700001</v>
      </c>
      <c r="M7" s="19">
        <f>I7/AE7*100</f>
        <v>-0.482800241400121</v>
      </c>
      <c r="N7" s="19">
        <f>J7/AF7*100</f>
        <v>-1.5629036663809</v>
      </c>
      <c r="O7" s="12">
        <f>C7+W7+AA7-AC7</f>
        <v>1649</v>
      </c>
      <c r="P7" s="12">
        <f>D7+X7+AB7-AD7</f>
        <v>81121.928299</v>
      </c>
      <c r="Q7" s="12">
        <f>O7-AO7</f>
        <v>-8</v>
      </c>
      <c r="R7" s="12">
        <f>P7-AP7</f>
        <v>-1287.987597</v>
      </c>
      <c r="S7" s="12">
        <f>O7-AG7</f>
        <v>-8</v>
      </c>
      <c r="T7" s="12">
        <f>P7-AH7</f>
        <v>-1287.987597</v>
      </c>
      <c r="U7" s="19">
        <f>S7/AG7*100</f>
        <v>-0.482800241400121</v>
      </c>
      <c r="V7" s="19">
        <f>T7/AH7*100</f>
        <v>-1.5629036663809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1651</v>
      </c>
      <c r="AJ7" s="47">
        <v>81207.145179</v>
      </c>
      <c r="AK7" s="47">
        <v>1651</v>
      </c>
      <c r="AL7" s="47">
        <v>81207.145179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1923</v>
      </c>
      <c r="D8" s="12">
        <v>122295.049281</v>
      </c>
      <c r="E8" s="12">
        <f>C8-AI8</f>
        <v>3</v>
      </c>
      <c r="F8" s="12">
        <f>D8-AJ8</f>
        <v>546.631615000006</v>
      </c>
      <c r="G8" s="12">
        <f>C8-AM8</f>
        <v>-2</v>
      </c>
      <c r="H8" s="12">
        <f>D8-AN8</f>
        <v>-933.320315000004</v>
      </c>
      <c r="I8" s="12">
        <f>C8-AE8</f>
        <v>-2</v>
      </c>
      <c r="J8" s="12">
        <f>D8-AF8</f>
        <v>-933.320315000004</v>
      </c>
      <c r="K8" s="12">
        <f t="shared" si="0"/>
        <v>-2</v>
      </c>
      <c r="L8" s="12">
        <f>J8-AT8</f>
        <v>180.529685000005</v>
      </c>
      <c r="M8" s="19">
        <f>I8/AE8*100</f>
        <v>-0.103896103896104</v>
      </c>
      <c r="N8" s="19">
        <f>J8/AF8*100</f>
        <v>-0.757390784329829</v>
      </c>
      <c r="O8" s="12">
        <f>C8+W8+AA8-AC8</f>
        <v>1923</v>
      </c>
      <c r="P8" s="12">
        <f>D8+X8+AB8-AD8</f>
        <v>122295.049281</v>
      </c>
      <c r="Q8" s="12">
        <f>O8-AO8</f>
        <v>-2</v>
      </c>
      <c r="R8" s="12">
        <f>P8-AP8</f>
        <v>-933.320315000004</v>
      </c>
      <c r="S8" s="30">
        <f>O8-AG8</f>
        <v>-2</v>
      </c>
      <c r="T8" s="12">
        <f>P8-AH8</f>
        <v>-933.320315000004</v>
      </c>
      <c r="U8" s="19">
        <f>S8/AG8*100</f>
        <v>-0.103896103896104</v>
      </c>
      <c r="V8" s="19">
        <f>T8/AH8*100</f>
        <v>-0.757390784329829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1920</v>
      </c>
      <c r="AJ8" s="47">
        <v>121748.417666</v>
      </c>
      <c r="AK8" s="47">
        <v>1920</v>
      </c>
      <c r="AL8" s="47">
        <v>121748.417666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759</v>
      </c>
      <c r="D9" s="12">
        <v>23316.658927</v>
      </c>
      <c r="E9" s="12">
        <f t="shared" ref="E9:E41" si="1">C9-AI9</f>
        <v>6</v>
      </c>
      <c r="F9" s="12">
        <f t="shared" ref="F9:F41" si="2">D9-AJ9</f>
        <v>18.6688770000001</v>
      </c>
      <c r="G9" s="12">
        <f t="shared" ref="G9:G41" si="3">C9-AM9</f>
        <v>46</v>
      </c>
      <c r="H9" s="12">
        <f t="shared" ref="H9:H41" si="4">D9-AN9</f>
        <v>198.363690999999</v>
      </c>
      <c r="I9" s="12">
        <f t="shared" ref="I9:I41" si="5">C9-AE9</f>
        <v>46</v>
      </c>
      <c r="J9" s="12">
        <f t="shared" ref="J9:J41" si="6">D9-AF9</f>
        <v>198.363690999999</v>
      </c>
      <c r="K9" s="12">
        <f t="shared" si="0"/>
        <v>-55</v>
      </c>
      <c r="L9" s="12">
        <f t="shared" ref="L9:L41" si="7">J9-AT9</f>
        <v>-1054.716309</v>
      </c>
      <c r="M9" s="19">
        <f t="shared" ref="M9:M41" si="8">I9/AE9*100</f>
        <v>6.45161290322581</v>
      </c>
      <c r="N9" s="19">
        <f t="shared" ref="N9:N41" si="9">J9/AF9*100</f>
        <v>0.858037709852866</v>
      </c>
      <c r="O9" s="12">
        <f t="shared" ref="O9:O40" si="10">C9+W9+AA9-AC9</f>
        <v>759</v>
      </c>
      <c r="P9" s="12">
        <f t="shared" ref="P9:P40" si="11">D9+X9+AB9-AD9</f>
        <v>23316.658927</v>
      </c>
      <c r="Q9" s="12">
        <f t="shared" ref="Q9:Q41" si="12">O9-AO9</f>
        <v>46</v>
      </c>
      <c r="R9" s="12">
        <f t="shared" ref="R9:R41" si="13">P9-AP9</f>
        <v>198.363690999999</v>
      </c>
      <c r="S9" s="12">
        <f t="shared" ref="S9:S41" si="14">O9-AG9</f>
        <v>46</v>
      </c>
      <c r="T9" s="12">
        <f t="shared" ref="T9:T41" si="15">P9-AH9</f>
        <v>198.363690999999</v>
      </c>
      <c r="U9" s="19">
        <f t="shared" ref="U9:U41" si="16">S9/AG9*100</f>
        <v>6.45161290322581</v>
      </c>
      <c r="V9" s="19">
        <f t="shared" ref="V9:V41" si="17">T9/AH9*100</f>
        <v>0.858037709852866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753</v>
      </c>
      <c r="AJ9" s="47">
        <v>23297.99005</v>
      </c>
      <c r="AK9" s="47">
        <v>753</v>
      </c>
      <c r="AL9" s="47">
        <v>23297.99005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925</v>
      </c>
      <c r="D10" s="12">
        <v>27869.980489</v>
      </c>
      <c r="E10" s="12">
        <f t="shared" si="1"/>
        <v>6</v>
      </c>
      <c r="F10" s="12">
        <f t="shared" si="2"/>
        <v>166.249414000002</v>
      </c>
      <c r="G10" s="12">
        <f t="shared" si="3"/>
        <v>34</v>
      </c>
      <c r="H10" s="12">
        <f t="shared" si="4"/>
        <v>-5.72058599999946</v>
      </c>
      <c r="I10" s="12">
        <f t="shared" si="5"/>
        <v>34</v>
      </c>
      <c r="J10" s="12">
        <f t="shared" si="6"/>
        <v>-5.72058599999946</v>
      </c>
      <c r="K10" s="12">
        <f t="shared" si="0"/>
        <v>16</v>
      </c>
      <c r="L10" s="12">
        <f t="shared" si="7"/>
        <v>-1716.490586</v>
      </c>
      <c r="M10" s="19">
        <f t="shared" si="8"/>
        <v>3.81593714927048</v>
      </c>
      <c r="N10" s="19">
        <f t="shared" si="9"/>
        <v>-0.0205217654781422</v>
      </c>
      <c r="O10" s="12">
        <f t="shared" si="10"/>
        <v>925</v>
      </c>
      <c r="P10" s="12">
        <f t="shared" si="11"/>
        <v>27869.980489</v>
      </c>
      <c r="Q10" s="12">
        <f t="shared" si="12"/>
        <v>34</v>
      </c>
      <c r="R10" s="12">
        <f t="shared" si="13"/>
        <v>-5.72058599999946</v>
      </c>
      <c r="S10" s="12">
        <f t="shared" si="14"/>
        <v>34</v>
      </c>
      <c r="T10" s="12">
        <f t="shared" si="15"/>
        <v>-5.72058599999946</v>
      </c>
      <c r="U10" s="19">
        <f t="shared" si="16"/>
        <v>3.81593714927048</v>
      </c>
      <c r="V10" s="19">
        <f t="shared" si="17"/>
        <v>-0.0205217654781422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919</v>
      </c>
      <c r="AJ10" s="47">
        <v>27703.731075</v>
      </c>
      <c r="AK10" s="47">
        <v>919</v>
      </c>
      <c r="AL10" s="47">
        <v>27703.731075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515</v>
      </c>
      <c r="D11" s="12">
        <v>12570.248425</v>
      </c>
      <c r="E11" s="12">
        <f t="shared" si="1"/>
        <v>-1</v>
      </c>
      <c r="F11" s="12">
        <f t="shared" si="2"/>
        <v>12.0866110000006</v>
      </c>
      <c r="G11" s="12">
        <f t="shared" si="3"/>
        <v>24</v>
      </c>
      <c r="H11" s="12">
        <f t="shared" si="4"/>
        <v>428.776610999999</v>
      </c>
      <c r="I11" s="12">
        <f t="shared" si="5"/>
        <v>24</v>
      </c>
      <c r="J11" s="12">
        <f t="shared" si="6"/>
        <v>428.776610999999</v>
      </c>
      <c r="K11" s="12">
        <f t="shared" si="0"/>
        <v>-15</v>
      </c>
      <c r="L11" s="12">
        <f t="shared" si="7"/>
        <v>-507.883389000001</v>
      </c>
      <c r="M11" s="19">
        <f t="shared" si="8"/>
        <v>4.88798370672098</v>
      </c>
      <c r="N11" s="19">
        <f t="shared" si="9"/>
        <v>3.53150439723122</v>
      </c>
      <c r="O11" s="12">
        <f t="shared" si="10"/>
        <v>515</v>
      </c>
      <c r="P11" s="12">
        <f t="shared" si="11"/>
        <v>12570.248425</v>
      </c>
      <c r="Q11" s="12">
        <f t="shared" si="12"/>
        <v>24</v>
      </c>
      <c r="R11" s="12">
        <f t="shared" si="13"/>
        <v>428.776610999999</v>
      </c>
      <c r="S11" s="12">
        <f t="shared" si="14"/>
        <v>24</v>
      </c>
      <c r="T11" s="12">
        <f t="shared" si="15"/>
        <v>428.776610999999</v>
      </c>
      <c r="U11" s="19">
        <f t="shared" si="16"/>
        <v>4.88798370672098</v>
      </c>
      <c r="V11" s="19">
        <f t="shared" si="17"/>
        <v>3.53150439723122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516</v>
      </c>
      <c r="AJ11" s="47">
        <v>12558.161814</v>
      </c>
      <c r="AK11" s="47">
        <v>516</v>
      </c>
      <c r="AL11" s="47">
        <v>12558.161814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393</v>
      </c>
      <c r="D12" s="12">
        <v>14118.6116</v>
      </c>
      <c r="E12" s="12">
        <f t="shared" si="1"/>
        <v>-3</v>
      </c>
      <c r="F12" s="12">
        <f t="shared" si="2"/>
        <v>68.5799999999999</v>
      </c>
      <c r="G12" s="12">
        <f t="shared" si="3"/>
        <v>35</v>
      </c>
      <c r="H12" s="12">
        <f t="shared" si="4"/>
        <v>743.365263</v>
      </c>
      <c r="I12" s="12">
        <f t="shared" si="5"/>
        <v>35</v>
      </c>
      <c r="J12" s="12">
        <f t="shared" si="6"/>
        <v>743.365263</v>
      </c>
      <c r="K12" s="12">
        <f t="shared" si="0"/>
        <v>-38</v>
      </c>
      <c r="L12" s="12">
        <f t="shared" si="7"/>
        <v>-750.634737</v>
      </c>
      <c r="M12" s="19">
        <f t="shared" si="8"/>
        <v>9.77653631284916</v>
      </c>
      <c r="N12" s="19">
        <f t="shared" si="9"/>
        <v>5.5577687638068</v>
      </c>
      <c r="O12" s="12">
        <f t="shared" si="10"/>
        <v>393</v>
      </c>
      <c r="P12" s="12">
        <f t="shared" si="11"/>
        <v>14118.6116</v>
      </c>
      <c r="Q12" s="12">
        <f t="shared" si="12"/>
        <v>35</v>
      </c>
      <c r="R12" s="12">
        <f t="shared" si="13"/>
        <v>743.365263</v>
      </c>
      <c r="S12" s="30">
        <f t="shared" si="14"/>
        <v>35</v>
      </c>
      <c r="T12" s="12">
        <f t="shared" si="15"/>
        <v>743.365263</v>
      </c>
      <c r="U12" s="19">
        <f t="shared" si="16"/>
        <v>9.77653631284916</v>
      </c>
      <c r="V12" s="19">
        <f t="shared" si="17"/>
        <v>5.5577687638068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396</v>
      </c>
      <c r="AJ12" s="47">
        <v>14050.0316</v>
      </c>
      <c r="AK12" s="47">
        <v>396</v>
      </c>
      <c r="AL12" s="47">
        <v>14050.0316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459</v>
      </c>
      <c r="D13" s="12">
        <v>12168.809215</v>
      </c>
      <c r="E13" s="12">
        <f t="shared" si="1"/>
        <v>-3</v>
      </c>
      <c r="F13" s="12">
        <f t="shared" si="2"/>
        <v>-17.25</v>
      </c>
      <c r="G13" s="12">
        <f t="shared" si="3"/>
        <v>-10</v>
      </c>
      <c r="H13" s="12">
        <f t="shared" si="4"/>
        <v>131.519598999999</v>
      </c>
      <c r="I13" s="12">
        <f t="shared" si="5"/>
        <v>-10</v>
      </c>
      <c r="J13" s="12">
        <f t="shared" si="6"/>
        <v>131.519598999999</v>
      </c>
      <c r="K13" s="12">
        <f t="shared" ref="K9:K41" si="18">I13-AS13</f>
        <v>-13</v>
      </c>
      <c r="L13" s="12">
        <f t="shared" si="7"/>
        <v>-434.950401000002</v>
      </c>
      <c r="M13" s="19">
        <f t="shared" si="8"/>
        <v>-2.13219616204691</v>
      </c>
      <c r="N13" s="19">
        <f t="shared" si="9"/>
        <v>1.09260143433936</v>
      </c>
      <c r="O13" s="12">
        <f t="shared" si="10"/>
        <v>459</v>
      </c>
      <c r="P13" s="12">
        <f t="shared" si="11"/>
        <v>12168.809215</v>
      </c>
      <c r="Q13" s="12">
        <f t="shared" si="12"/>
        <v>-10</v>
      </c>
      <c r="R13" s="12">
        <f t="shared" si="13"/>
        <v>131.519598999999</v>
      </c>
      <c r="S13" s="12">
        <f t="shared" si="14"/>
        <v>-10</v>
      </c>
      <c r="T13" s="12">
        <f t="shared" si="15"/>
        <v>131.519598999999</v>
      </c>
      <c r="U13" s="19">
        <f t="shared" si="16"/>
        <v>-2.13219616204691</v>
      </c>
      <c r="V13" s="19">
        <f t="shared" si="17"/>
        <v>1.09260143433936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462</v>
      </c>
      <c r="AJ13" s="47">
        <v>12186.059215</v>
      </c>
      <c r="AK13" s="47">
        <v>462</v>
      </c>
      <c r="AL13" s="47">
        <v>12186.059215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350</v>
      </c>
      <c r="D14" s="12">
        <v>11027.941048</v>
      </c>
      <c r="E14" s="12">
        <f t="shared" si="1"/>
        <v>-1</v>
      </c>
      <c r="F14" s="12">
        <f t="shared" si="2"/>
        <v>29.9200000000001</v>
      </c>
      <c r="G14" s="12">
        <f t="shared" si="3"/>
        <v>2</v>
      </c>
      <c r="H14" s="12">
        <f t="shared" si="4"/>
        <v>448.25</v>
      </c>
      <c r="I14" s="12">
        <f t="shared" si="5"/>
        <v>2</v>
      </c>
      <c r="J14" s="12">
        <f t="shared" si="6"/>
        <v>448.25</v>
      </c>
      <c r="K14" s="12">
        <f t="shared" si="18"/>
        <v>-74</v>
      </c>
      <c r="L14" s="12">
        <f t="shared" si="7"/>
        <v>-469.049999999999</v>
      </c>
      <c r="M14" s="19">
        <f t="shared" si="8"/>
        <v>0.574712643678161</v>
      </c>
      <c r="N14" s="19">
        <f t="shared" si="9"/>
        <v>4.23689120945302</v>
      </c>
      <c r="O14" s="12">
        <f t="shared" si="10"/>
        <v>350</v>
      </c>
      <c r="P14" s="12">
        <f t="shared" si="11"/>
        <v>11027.941048</v>
      </c>
      <c r="Q14" s="12">
        <f t="shared" si="12"/>
        <v>2</v>
      </c>
      <c r="R14" s="12">
        <f t="shared" si="13"/>
        <v>448.25</v>
      </c>
      <c r="S14" s="12">
        <f t="shared" si="14"/>
        <v>2</v>
      </c>
      <c r="T14" s="12">
        <f t="shared" si="15"/>
        <v>448.25</v>
      </c>
      <c r="U14" s="19">
        <f t="shared" si="16"/>
        <v>0.574712643678161</v>
      </c>
      <c r="V14" s="19">
        <f t="shared" si="17"/>
        <v>4.23689120945302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351</v>
      </c>
      <c r="AJ14" s="47">
        <v>10998.021048</v>
      </c>
      <c r="AK14" s="47">
        <v>351</v>
      </c>
      <c r="AL14" s="47">
        <v>10998.021048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675</v>
      </c>
      <c r="D15" s="12">
        <v>17763.59571</v>
      </c>
      <c r="E15" s="12">
        <f t="shared" si="1"/>
        <v>0</v>
      </c>
      <c r="F15" s="12">
        <f t="shared" si="2"/>
        <v>12.3366670000032</v>
      </c>
      <c r="G15" s="12">
        <f t="shared" si="3"/>
        <v>21</v>
      </c>
      <c r="H15" s="12">
        <f t="shared" si="4"/>
        <v>222.258964000001</v>
      </c>
      <c r="I15" s="12">
        <f t="shared" si="5"/>
        <v>21</v>
      </c>
      <c r="J15" s="12">
        <f t="shared" si="6"/>
        <v>222.258964000001</v>
      </c>
      <c r="K15" s="12">
        <f t="shared" si="18"/>
        <v>-89</v>
      </c>
      <c r="L15" s="12">
        <f t="shared" si="7"/>
        <v>-1237.591036</v>
      </c>
      <c r="M15" s="19">
        <f t="shared" si="8"/>
        <v>3.21100917431193</v>
      </c>
      <c r="N15" s="19">
        <f t="shared" si="9"/>
        <v>1.26705830472517</v>
      </c>
      <c r="O15" s="12">
        <f t="shared" si="10"/>
        <v>675</v>
      </c>
      <c r="P15" s="12">
        <f t="shared" si="11"/>
        <v>17763.59571</v>
      </c>
      <c r="Q15" s="12">
        <f t="shared" si="12"/>
        <v>21</v>
      </c>
      <c r="R15" s="12">
        <f t="shared" si="13"/>
        <v>222.258964000001</v>
      </c>
      <c r="S15" s="12">
        <f t="shared" si="14"/>
        <v>21</v>
      </c>
      <c r="T15" s="12">
        <f t="shared" si="15"/>
        <v>222.258964000001</v>
      </c>
      <c r="U15" s="19">
        <f t="shared" si="16"/>
        <v>3.21100917431193</v>
      </c>
      <c r="V15" s="19">
        <f t="shared" si="17"/>
        <v>1.26705830472517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675</v>
      </c>
      <c r="AJ15" s="47">
        <v>17751.259043</v>
      </c>
      <c r="AK15" s="47">
        <v>675</v>
      </c>
      <c r="AL15" s="47">
        <v>17751.259043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697</v>
      </c>
      <c r="D16" s="12">
        <v>23256.766292</v>
      </c>
      <c r="E16" s="12">
        <f t="shared" si="1"/>
        <v>0</v>
      </c>
      <c r="F16" s="12">
        <f t="shared" si="2"/>
        <v>380.141667</v>
      </c>
      <c r="G16" s="12">
        <f t="shared" si="3"/>
        <v>-6</v>
      </c>
      <c r="H16" s="12">
        <f t="shared" si="4"/>
        <v>356.039328999999</v>
      </c>
      <c r="I16" s="12">
        <f t="shared" si="5"/>
        <v>-6</v>
      </c>
      <c r="J16" s="12">
        <f t="shared" si="6"/>
        <v>356.039328999999</v>
      </c>
      <c r="K16" s="12">
        <f t="shared" si="18"/>
        <v>-69</v>
      </c>
      <c r="L16" s="12">
        <f t="shared" si="7"/>
        <v>-431.920671</v>
      </c>
      <c r="M16" s="19">
        <f t="shared" si="8"/>
        <v>-0.85348506401138</v>
      </c>
      <c r="N16" s="19">
        <f t="shared" si="9"/>
        <v>1.55470754083589</v>
      </c>
      <c r="O16" s="12">
        <f t="shared" si="10"/>
        <v>697</v>
      </c>
      <c r="P16" s="12">
        <f t="shared" si="11"/>
        <v>23256.766292</v>
      </c>
      <c r="Q16" s="12">
        <f t="shared" si="12"/>
        <v>-6</v>
      </c>
      <c r="R16" s="12">
        <f t="shared" si="13"/>
        <v>356.039328999999</v>
      </c>
      <c r="S16" s="12">
        <f t="shared" si="14"/>
        <v>-6</v>
      </c>
      <c r="T16" s="12">
        <f t="shared" si="15"/>
        <v>356.039328999999</v>
      </c>
      <c r="U16" s="19">
        <f t="shared" si="16"/>
        <v>-0.85348506401138</v>
      </c>
      <c r="V16" s="19">
        <f t="shared" si="17"/>
        <v>1.55470754083589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697</v>
      </c>
      <c r="AJ16" s="47">
        <v>22876.624625</v>
      </c>
      <c r="AK16" s="47">
        <v>697</v>
      </c>
      <c r="AL16" s="47">
        <v>22876.624625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592</v>
      </c>
      <c r="D17" s="12">
        <v>18216.857284</v>
      </c>
      <c r="E17" s="12">
        <f t="shared" si="1"/>
        <v>2</v>
      </c>
      <c r="F17" s="12">
        <f t="shared" si="2"/>
        <v>0.398000000001048</v>
      </c>
      <c r="G17" s="12">
        <f t="shared" si="3"/>
        <v>-7</v>
      </c>
      <c r="H17" s="12">
        <f t="shared" si="4"/>
        <v>-213.163592999997</v>
      </c>
      <c r="I17" s="12">
        <f t="shared" si="5"/>
        <v>-7</v>
      </c>
      <c r="J17" s="12">
        <f t="shared" si="6"/>
        <v>-213.163592999997</v>
      </c>
      <c r="K17" s="12">
        <f t="shared" si="18"/>
        <v>-15</v>
      </c>
      <c r="L17" s="12">
        <f t="shared" si="7"/>
        <v>-942.873592999997</v>
      </c>
      <c r="M17" s="19">
        <f t="shared" si="8"/>
        <v>-1.1686143572621</v>
      </c>
      <c r="N17" s="19">
        <f t="shared" si="9"/>
        <v>-1.15661069741933</v>
      </c>
      <c r="O17" s="12">
        <f t="shared" si="10"/>
        <v>592</v>
      </c>
      <c r="P17" s="12">
        <f t="shared" si="11"/>
        <v>18216.857284</v>
      </c>
      <c r="Q17" s="12">
        <f t="shared" si="12"/>
        <v>-7</v>
      </c>
      <c r="R17" s="12">
        <f t="shared" si="13"/>
        <v>-213.163592999997</v>
      </c>
      <c r="S17" s="30">
        <f t="shared" si="14"/>
        <v>-7</v>
      </c>
      <c r="T17" s="12">
        <f t="shared" si="15"/>
        <v>-213.163592999997</v>
      </c>
      <c r="U17" s="19">
        <f t="shared" si="16"/>
        <v>-1.1686143572621</v>
      </c>
      <c r="V17" s="19">
        <f t="shared" si="17"/>
        <v>-1.15661069741933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590</v>
      </c>
      <c r="AJ17" s="47">
        <v>18216.459284</v>
      </c>
      <c r="AK17" s="47">
        <v>590</v>
      </c>
      <c r="AL17" s="47">
        <v>18216.459284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479</v>
      </c>
      <c r="D18" s="12">
        <v>18719.776601</v>
      </c>
      <c r="E18" s="12">
        <f t="shared" si="1"/>
        <v>1</v>
      </c>
      <c r="F18" s="12">
        <f t="shared" si="2"/>
        <v>-3.52260999999999</v>
      </c>
      <c r="G18" s="12">
        <f t="shared" si="3"/>
        <v>-3</v>
      </c>
      <c r="H18" s="12">
        <f t="shared" si="4"/>
        <v>-837.686798999999</v>
      </c>
      <c r="I18" s="12">
        <f t="shared" si="5"/>
        <v>-3</v>
      </c>
      <c r="J18" s="12">
        <f t="shared" si="6"/>
        <v>-837.686798999999</v>
      </c>
      <c r="K18" s="12">
        <f t="shared" si="18"/>
        <v>-14</v>
      </c>
      <c r="L18" s="12">
        <f t="shared" si="7"/>
        <v>-2149.156799</v>
      </c>
      <c r="M18" s="19">
        <f t="shared" si="8"/>
        <v>-0.622406639004149</v>
      </c>
      <c r="N18" s="19">
        <f t="shared" si="9"/>
        <v>-4.28320780597753</v>
      </c>
      <c r="O18" s="12">
        <f t="shared" si="10"/>
        <v>479</v>
      </c>
      <c r="P18" s="12">
        <f t="shared" si="11"/>
        <v>18719.776601</v>
      </c>
      <c r="Q18" s="12">
        <f t="shared" si="12"/>
        <v>-3</v>
      </c>
      <c r="R18" s="12">
        <f t="shared" si="13"/>
        <v>-837.686798999999</v>
      </c>
      <c r="S18" s="12">
        <f t="shared" si="14"/>
        <v>-3</v>
      </c>
      <c r="T18" s="12">
        <f t="shared" si="15"/>
        <v>-837.686798999999</v>
      </c>
      <c r="U18" s="19">
        <f t="shared" si="16"/>
        <v>-0.622406639004149</v>
      </c>
      <c r="V18" s="19">
        <f t="shared" si="17"/>
        <v>-4.28320780597753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478</v>
      </c>
      <c r="AJ18" s="47">
        <v>18723.299211</v>
      </c>
      <c r="AK18" s="47">
        <v>478</v>
      </c>
      <c r="AL18" s="47">
        <v>18723.299211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432</v>
      </c>
      <c r="D19" s="12">
        <v>15006.945372</v>
      </c>
      <c r="E19" s="12">
        <f t="shared" si="1"/>
        <v>-2</v>
      </c>
      <c r="F19" s="12">
        <f t="shared" si="2"/>
        <v>-137.299999999999</v>
      </c>
      <c r="G19" s="12">
        <f t="shared" si="3"/>
        <v>0</v>
      </c>
      <c r="H19" s="12">
        <f t="shared" si="4"/>
        <v>376.599</v>
      </c>
      <c r="I19" s="12">
        <f t="shared" si="5"/>
        <v>0</v>
      </c>
      <c r="J19" s="12">
        <f t="shared" si="6"/>
        <v>376.599</v>
      </c>
      <c r="K19" s="12">
        <f t="shared" si="18"/>
        <v>-32</v>
      </c>
      <c r="L19" s="12">
        <f t="shared" si="7"/>
        <v>-426.381</v>
      </c>
      <c r="M19" s="19">
        <f t="shared" si="8"/>
        <v>0</v>
      </c>
      <c r="N19" s="19">
        <f t="shared" si="9"/>
        <v>2.57409490127142</v>
      </c>
      <c r="O19" s="12">
        <f t="shared" si="10"/>
        <v>432</v>
      </c>
      <c r="P19" s="12">
        <f t="shared" si="11"/>
        <v>15006.945372</v>
      </c>
      <c r="Q19" s="12">
        <f t="shared" si="12"/>
        <v>0</v>
      </c>
      <c r="R19" s="12">
        <f t="shared" si="13"/>
        <v>376.599</v>
      </c>
      <c r="S19" s="12">
        <f t="shared" si="14"/>
        <v>0</v>
      </c>
      <c r="T19" s="12">
        <f t="shared" si="15"/>
        <v>376.599</v>
      </c>
      <c r="U19" s="19">
        <f t="shared" si="16"/>
        <v>0</v>
      </c>
      <c r="V19" s="19">
        <f t="shared" si="17"/>
        <v>2.57409490127142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434</v>
      </c>
      <c r="AJ19" s="47">
        <v>15144.245372</v>
      </c>
      <c r="AK19" s="47">
        <v>434</v>
      </c>
      <c r="AL19" s="47">
        <v>15144.245372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640</v>
      </c>
      <c r="D20" s="12">
        <v>19064.057604</v>
      </c>
      <c r="E20" s="12">
        <f t="shared" si="1"/>
        <v>0</v>
      </c>
      <c r="F20" s="12">
        <f t="shared" si="2"/>
        <v>88.9000000000015</v>
      </c>
      <c r="G20" s="12">
        <f t="shared" si="3"/>
        <v>29</v>
      </c>
      <c r="H20" s="12">
        <f t="shared" si="4"/>
        <v>1045.34</v>
      </c>
      <c r="I20" s="12">
        <f t="shared" si="5"/>
        <v>29</v>
      </c>
      <c r="J20" s="12">
        <f t="shared" si="6"/>
        <v>1045.34</v>
      </c>
      <c r="K20" s="12">
        <f t="shared" si="18"/>
        <v>-52</v>
      </c>
      <c r="L20" s="12">
        <f t="shared" si="7"/>
        <v>-1171.31</v>
      </c>
      <c r="M20" s="19">
        <f t="shared" si="8"/>
        <v>4.74631751227496</v>
      </c>
      <c r="N20" s="19">
        <f t="shared" si="9"/>
        <v>5.80141174845841</v>
      </c>
      <c r="O20" s="12">
        <f t="shared" si="10"/>
        <v>640</v>
      </c>
      <c r="P20" s="12">
        <f t="shared" si="11"/>
        <v>19064.057604</v>
      </c>
      <c r="Q20" s="12">
        <f t="shared" si="12"/>
        <v>29</v>
      </c>
      <c r="R20" s="12">
        <f t="shared" si="13"/>
        <v>1045.34</v>
      </c>
      <c r="S20" s="12">
        <f t="shared" si="14"/>
        <v>29</v>
      </c>
      <c r="T20" s="12">
        <f t="shared" si="15"/>
        <v>1045.34</v>
      </c>
      <c r="U20" s="19">
        <f t="shared" si="16"/>
        <v>4.74631751227496</v>
      </c>
      <c r="V20" s="19">
        <f t="shared" si="17"/>
        <v>5.80141174845841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640</v>
      </c>
      <c r="AJ20" s="47">
        <v>18975.157604</v>
      </c>
      <c r="AK20" s="47">
        <v>640</v>
      </c>
      <c r="AL20" s="47">
        <v>18975.157604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444</v>
      </c>
      <c r="D21" s="12">
        <v>15073.295663</v>
      </c>
      <c r="E21" s="12">
        <f t="shared" si="1"/>
        <v>-1</v>
      </c>
      <c r="F21" s="12">
        <f t="shared" si="2"/>
        <v>-92.5999999999985</v>
      </c>
      <c r="G21" s="12">
        <f t="shared" si="3"/>
        <v>6</v>
      </c>
      <c r="H21" s="12">
        <f t="shared" si="4"/>
        <v>-351.168609999999</v>
      </c>
      <c r="I21" s="12">
        <f t="shared" si="5"/>
        <v>6</v>
      </c>
      <c r="J21" s="12">
        <f t="shared" si="6"/>
        <v>-351.168609999999</v>
      </c>
      <c r="K21" s="12">
        <f t="shared" si="18"/>
        <v>-51</v>
      </c>
      <c r="L21" s="12">
        <f t="shared" si="7"/>
        <v>-1361.06861</v>
      </c>
      <c r="M21" s="19">
        <f t="shared" si="8"/>
        <v>1.36986301369863</v>
      </c>
      <c r="N21" s="19">
        <f t="shared" si="9"/>
        <v>-2.27669891015085</v>
      </c>
      <c r="O21" s="12">
        <f t="shared" si="10"/>
        <v>444</v>
      </c>
      <c r="P21" s="12">
        <f t="shared" si="11"/>
        <v>15073.295663</v>
      </c>
      <c r="Q21" s="12">
        <f t="shared" si="12"/>
        <v>6</v>
      </c>
      <c r="R21" s="12">
        <f t="shared" si="13"/>
        <v>-351.168609999999</v>
      </c>
      <c r="S21" s="30">
        <f t="shared" si="14"/>
        <v>6</v>
      </c>
      <c r="T21" s="12">
        <f t="shared" si="15"/>
        <v>-351.168609999999</v>
      </c>
      <c r="U21" s="19">
        <f t="shared" si="16"/>
        <v>1.36986301369863</v>
      </c>
      <c r="V21" s="19">
        <f t="shared" si="17"/>
        <v>-2.27669891015085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445</v>
      </c>
      <c r="AJ21" s="47">
        <v>15165.895663</v>
      </c>
      <c r="AK21" s="47">
        <v>445</v>
      </c>
      <c r="AL21" s="47">
        <v>15165.895663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717</v>
      </c>
      <c r="D22" s="12">
        <v>24956.872843</v>
      </c>
      <c r="E22" s="12">
        <f t="shared" si="1"/>
        <v>0</v>
      </c>
      <c r="F22" s="12">
        <f t="shared" si="2"/>
        <v>-25.0132759999979</v>
      </c>
      <c r="G22" s="12">
        <f t="shared" si="3"/>
        <v>43</v>
      </c>
      <c r="H22" s="12">
        <f t="shared" si="4"/>
        <v>1612.303875</v>
      </c>
      <c r="I22" s="12">
        <f t="shared" si="5"/>
        <v>43</v>
      </c>
      <c r="J22" s="12">
        <f t="shared" si="6"/>
        <v>1612.303875</v>
      </c>
      <c r="K22" s="12">
        <f t="shared" si="18"/>
        <v>-19</v>
      </c>
      <c r="L22" s="12">
        <f t="shared" si="7"/>
        <v>333.383875000001</v>
      </c>
      <c r="M22" s="19">
        <f t="shared" si="8"/>
        <v>6.37982195845697</v>
      </c>
      <c r="N22" s="19">
        <f t="shared" si="9"/>
        <v>6.90654805925137</v>
      </c>
      <c r="O22" s="12">
        <f t="shared" si="10"/>
        <v>717</v>
      </c>
      <c r="P22" s="12">
        <f t="shared" si="11"/>
        <v>24956.872843</v>
      </c>
      <c r="Q22" s="12">
        <f t="shared" si="12"/>
        <v>43</v>
      </c>
      <c r="R22" s="12">
        <f t="shared" si="13"/>
        <v>1612.303875</v>
      </c>
      <c r="S22" s="12">
        <f t="shared" si="14"/>
        <v>43</v>
      </c>
      <c r="T22" s="12">
        <f t="shared" si="15"/>
        <v>1612.303875</v>
      </c>
      <c r="U22" s="19">
        <f t="shared" si="16"/>
        <v>6.37982195845697</v>
      </c>
      <c r="V22" s="19">
        <f t="shared" si="17"/>
        <v>6.90654805925137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717</v>
      </c>
      <c r="AJ22" s="47">
        <v>24981.886119</v>
      </c>
      <c r="AK22" s="47">
        <v>717</v>
      </c>
      <c r="AL22" s="47">
        <v>24981.886119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693</v>
      </c>
      <c r="D23" s="12">
        <v>25428.040018</v>
      </c>
      <c r="E23" s="12">
        <f t="shared" si="1"/>
        <v>-3</v>
      </c>
      <c r="F23" s="12">
        <f t="shared" si="2"/>
        <v>-64.9385680000014</v>
      </c>
      <c r="G23" s="12">
        <f t="shared" si="3"/>
        <v>-7</v>
      </c>
      <c r="H23" s="12">
        <f t="shared" si="4"/>
        <v>-592.148568000001</v>
      </c>
      <c r="I23" s="12">
        <f t="shared" si="5"/>
        <v>-7</v>
      </c>
      <c r="J23" s="12">
        <f t="shared" si="6"/>
        <v>-592.148568000001</v>
      </c>
      <c r="K23" s="12">
        <f t="shared" si="18"/>
        <v>-49</v>
      </c>
      <c r="L23" s="12">
        <f t="shared" si="7"/>
        <v>-1120.558568</v>
      </c>
      <c r="M23" s="19">
        <f t="shared" si="8"/>
        <v>-1</v>
      </c>
      <c r="N23" s="19">
        <f t="shared" si="9"/>
        <v>-2.27572742619783</v>
      </c>
      <c r="O23" s="12">
        <f t="shared" si="10"/>
        <v>693</v>
      </c>
      <c r="P23" s="12">
        <f t="shared" si="11"/>
        <v>25428.040018</v>
      </c>
      <c r="Q23" s="12">
        <f t="shared" si="12"/>
        <v>-7</v>
      </c>
      <c r="R23" s="12">
        <f t="shared" si="13"/>
        <v>-592.148568000001</v>
      </c>
      <c r="S23" s="12">
        <f t="shared" si="14"/>
        <v>-7</v>
      </c>
      <c r="T23" s="12">
        <f t="shared" si="15"/>
        <v>-592.148568000001</v>
      </c>
      <c r="U23" s="19">
        <f t="shared" si="16"/>
        <v>-1</v>
      </c>
      <c r="V23" s="19">
        <f t="shared" si="17"/>
        <v>-2.27572742619783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696</v>
      </c>
      <c r="AJ23" s="47">
        <v>25492.978586</v>
      </c>
      <c r="AK23" s="47">
        <v>696</v>
      </c>
      <c r="AL23" s="47">
        <v>25492.978586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485</v>
      </c>
      <c r="D24" s="12">
        <v>15615.71</v>
      </c>
      <c r="E24" s="12">
        <f t="shared" si="1"/>
        <v>1</v>
      </c>
      <c r="F24" s="12">
        <f t="shared" si="2"/>
        <v>37</v>
      </c>
      <c r="G24" s="12">
        <f t="shared" si="3"/>
        <v>14</v>
      </c>
      <c r="H24" s="12">
        <f t="shared" si="4"/>
        <v>1027.31</v>
      </c>
      <c r="I24" s="12">
        <f t="shared" si="5"/>
        <v>14</v>
      </c>
      <c r="J24" s="12">
        <f t="shared" si="6"/>
        <v>1027.31</v>
      </c>
      <c r="K24" s="12">
        <f t="shared" si="18"/>
        <v>-37</v>
      </c>
      <c r="L24" s="12">
        <f t="shared" si="7"/>
        <v>209.319999999999</v>
      </c>
      <c r="M24" s="19">
        <f t="shared" si="8"/>
        <v>2.9723991507431</v>
      </c>
      <c r="N24" s="19">
        <f t="shared" si="9"/>
        <v>7.04196484878396</v>
      </c>
      <c r="O24" s="12">
        <f t="shared" si="10"/>
        <v>485</v>
      </c>
      <c r="P24" s="12">
        <f t="shared" si="11"/>
        <v>15615.71</v>
      </c>
      <c r="Q24" s="12">
        <f t="shared" si="12"/>
        <v>14</v>
      </c>
      <c r="R24" s="12">
        <f t="shared" si="13"/>
        <v>1027.31</v>
      </c>
      <c r="S24" s="30">
        <f t="shared" si="14"/>
        <v>14</v>
      </c>
      <c r="T24" s="12">
        <f t="shared" si="15"/>
        <v>1027.31</v>
      </c>
      <c r="U24" s="19">
        <f t="shared" si="16"/>
        <v>2.9723991507431</v>
      </c>
      <c r="V24" s="19">
        <f t="shared" si="17"/>
        <v>7.04196484878396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484</v>
      </c>
      <c r="AJ24" s="47">
        <v>15578.71</v>
      </c>
      <c r="AK24" s="47">
        <v>484</v>
      </c>
      <c r="AL24" s="47">
        <v>15578.71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482</v>
      </c>
      <c r="D25" s="12">
        <v>15500.657643</v>
      </c>
      <c r="E25" s="12">
        <f t="shared" si="1"/>
        <v>2</v>
      </c>
      <c r="F25" s="12">
        <f t="shared" si="2"/>
        <v>-40.0848349999997</v>
      </c>
      <c r="G25" s="12">
        <f t="shared" si="3"/>
        <v>0</v>
      </c>
      <c r="H25" s="12">
        <f t="shared" si="4"/>
        <v>-626.219373</v>
      </c>
      <c r="I25" s="12">
        <f t="shared" si="5"/>
        <v>0</v>
      </c>
      <c r="J25" s="12">
        <f t="shared" si="6"/>
        <v>-626.219373</v>
      </c>
      <c r="K25" s="12">
        <f t="shared" si="18"/>
        <v>-25</v>
      </c>
      <c r="L25" s="12">
        <f t="shared" si="7"/>
        <v>-1507.399373</v>
      </c>
      <c r="M25" s="19">
        <f t="shared" si="8"/>
        <v>0</v>
      </c>
      <c r="N25" s="19">
        <f t="shared" si="9"/>
        <v>-3.88307898906098</v>
      </c>
      <c r="O25" s="12">
        <f t="shared" si="10"/>
        <v>482</v>
      </c>
      <c r="P25" s="12">
        <f t="shared" si="11"/>
        <v>15500.657643</v>
      </c>
      <c r="Q25" s="12">
        <f t="shared" si="12"/>
        <v>0</v>
      </c>
      <c r="R25" s="12">
        <f t="shared" si="13"/>
        <v>-626.219373</v>
      </c>
      <c r="S25" s="12">
        <f t="shared" si="14"/>
        <v>0</v>
      </c>
      <c r="T25" s="12">
        <f t="shared" si="15"/>
        <v>-626.219373</v>
      </c>
      <c r="U25" s="19">
        <f t="shared" si="16"/>
        <v>0</v>
      </c>
      <c r="V25" s="19">
        <f t="shared" si="17"/>
        <v>-3.88307898906098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480</v>
      </c>
      <c r="AJ25" s="47">
        <v>15540.742478</v>
      </c>
      <c r="AK25" s="47">
        <v>480</v>
      </c>
      <c r="AL25" s="47">
        <v>15540.742478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269</v>
      </c>
      <c r="D26" s="12">
        <v>10398.380063</v>
      </c>
      <c r="E26" s="12">
        <f t="shared" si="1"/>
        <v>-1</v>
      </c>
      <c r="F26" s="12">
        <f t="shared" si="2"/>
        <v>-3</v>
      </c>
      <c r="G26" s="12">
        <f t="shared" si="3"/>
        <v>-8</v>
      </c>
      <c r="H26" s="12">
        <f t="shared" si="4"/>
        <v>-424.045491999999</v>
      </c>
      <c r="I26" s="12">
        <f t="shared" si="5"/>
        <v>-8</v>
      </c>
      <c r="J26" s="12">
        <f t="shared" si="6"/>
        <v>-424.045491999999</v>
      </c>
      <c r="K26" s="12">
        <f t="shared" si="18"/>
        <v>-28</v>
      </c>
      <c r="L26" s="12">
        <f t="shared" si="7"/>
        <v>-1128.055492</v>
      </c>
      <c r="M26" s="19">
        <f t="shared" si="8"/>
        <v>-2.88808664259928</v>
      </c>
      <c r="N26" s="19">
        <f t="shared" si="9"/>
        <v>-3.91821121656123</v>
      </c>
      <c r="O26" s="12">
        <f t="shared" si="10"/>
        <v>269</v>
      </c>
      <c r="P26" s="12">
        <f t="shared" si="11"/>
        <v>10398.380063</v>
      </c>
      <c r="Q26" s="12">
        <f t="shared" si="12"/>
        <v>-8</v>
      </c>
      <c r="R26" s="12">
        <f t="shared" si="13"/>
        <v>-424.045491999999</v>
      </c>
      <c r="S26" s="12">
        <f t="shared" si="14"/>
        <v>-8</v>
      </c>
      <c r="T26" s="12">
        <f t="shared" si="15"/>
        <v>-424.045491999999</v>
      </c>
      <c r="U26" s="19">
        <f t="shared" si="16"/>
        <v>-2.88808664259928</v>
      </c>
      <c r="V26" s="19">
        <f t="shared" si="17"/>
        <v>-3.91821121656123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270</v>
      </c>
      <c r="AJ26" s="47">
        <v>10401.380063</v>
      </c>
      <c r="AK26" s="47">
        <v>270</v>
      </c>
      <c r="AL26" s="47">
        <v>10401.380063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337</v>
      </c>
      <c r="D27" s="12">
        <v>10990.546571</v>
      </c>
      <c r="E27" s="12">
        <f t="shared" si="1"/>
        <v>-3</v>
      </c>
      <c r="F27" s="12">
        <f t="shared" si="2"/>
        <v>-110.412869</v>
      </c>
      <c r="G27" s="12">
        <f t="shared" si="3"/>
        <v>9</v>
      </c>
      <c r="H27" s="12">
        <f t="shared" si="4"/>
        <v>-427.918388999999</v>
      </c>
      <c r="I27" s="12">
        <f t="shared" si="5"/>
        <v>9</v>
      </c>
      <c r="J27" s="12">
        <f t="shared" si="6"/>
        <v>-427.918388999999</v>
      </c>
      <c r="K27" s="12">
        <f t="shared" si="18"/>
        <v>-23</v>
      </c>
      <c r="L27" s="12">
        <f t="shared" si="7"/>
        <v>-1052.188389</v>
      </c>
      <c r="M27" s="19">
        <f t="shared" si="8"/>
        <v>2.74390243902439</v>
      </c>
      <c r="N27" s="19">
        <f t="shared" si="9"/>
        <v>-3.74759996636184</v>
      </c>
      <c r="O27" s="12">
        <f t="shared" si="10"/>
        <v>337</v>
      </c>
      <c r="P27" s="12">
        <f t="shared" si="11"/>
        <v>10990.546571</v>
      </c>
      <c r="Q27" s="12">
        <f t="shared" si="12"/>
        <v>9</v>
      </c>
      <c r="R27" s="12">
        <f t="shared" si="13"/>
        <v>-427.918388999999</v>
      </c>
      <c r="S27" s="12">
        <f t="shared" si="14"/>
        <v>9</v>
      </c>
      <c r="T27" s="12">
        <f t="shared" si="15"/>
        <v>-427.918388999999</v>
      </c>
      <c r="U27" s="19">
        <f t="shared" si="16"/>
        <v>2.74390243902439</v>
      </c>
      <c r="V27" s="19">
        <f t="shared" si="17"/>
        <v>-3.74759996636184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340</v>
      </c>
      <c r="AJ27" s="47">
        <v>11100.95944</v>
      </c>
      <c r="AK27" s="47">
        <v>340</v>
      </c>
      <c r="AL27" s="47">
        <v>11100.95944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395</v>
      </c>
      <c r="D28" s="12">
        <v>19598.700417</v>
      </c>
      <c r="E28" s="12">
        <f t="shared" si="1"/>
        <v>-3</v>
      </c>
      <c r="F28" s="12">
        <f t="shared" si="2"/>
        <v>-15.1347999999998</v>
      </c>
      <c r="G28" s="12">
        <f t="shared" si="3"/>
        <v>33</v>
      </c>
      <c r="H28" s="12">
        <f t="shared" si="4"/>
        <v>-453.110623</v>
      </c>
      <c r="I28" s="12">
        <f t="shared" si="5"/>
        <v>33</v>
      </c>
      <c r="J28" s="12">
        <f t="shared" si="6"/>
        <v>-453.110623</v>
      </c>
      <c r="K28" s="12">
        <f t="shared" si="18"/>
        <v>-7</v>
      </c>
      <c r="L28" s="12">
        <f t="shared" si="7"/>
        <v>-1333.840623</v>
      </c>
      <c r="M28" s="19">
        <f t="shared" si="8"/>
        <v>9.11602209944751</v>
      </c>
      <c r="N28" s="19">
        <f t="shared" si="9"/>
        <v>-2.25969924659733</v>
      </c>
      <c r="O28" s="12">
        <f t="shared" si="10"/>
        <v>395</v>
      </c>
      <c r="P28" s="12">
        <f t="shared" si="11"/>
        <v>19598.700417</v>
      </c>
      <c r="Q28" s="12">
        <f t="shared" si="12"/>
        <v>33</v>
      </c>
      <c r="R28" s="12">
        <f t="shared" si="13"/>
        <v>-453.110623</v>
      </c>
      <c r="S28" s="12">
        <f t="shared" si="14"/>
        <v>33</v>
      </c>
      <c r="T28" s="12">
        <f t="shared" si="15"/>
        <v>-453.110623</v>
      </c>
      <c r="U28" s="19">
        <f t="shared" si="16"/>
        <v>9.11602209944751</v>
      </c>
      <c r="V28" s="19">
        <f t="shared" si="17"/>
        <v>-2.25969924659733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398</v>
      </c>
      <c r="AJ28" s="47">
        <v>19613.835217</v>
      </c>
      <c r="AK28" s="47">
        <v>398</v>
      </c>
      <c r="AL28" s="47">
        <v>19613.835217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325</v>
      </c>
      <c r="D29" s="12">
        <v>11097.558315</v>
      </c>
      <c r="E29" s="12">
        <f t="shared" si="1"/>
        <v>-2</v>
      </c>
      <c r="F29" s="12">
        <f t="shared" si="2"/>
        <v>-308.892801</v>
      </c>
      <c r="G29" s="12">
        <f t="shared" si="3"/>
        <v>-3</v>
      </c>
      <c r="H29" s="12">
        <f t="shared" si="4"/>
        <v>-897.104293</v>
      </c>
      <c r="I29" s="12">
        <f t="shared" si="5"/>
        <v>-3</v>
      </c>
      <c r="J29" s="12">
        <f t="shared" si="6"/>
        <v>-897.104293</v>
      </c>
      <c r="K29" s="12">
        <f t="shared" si="18"/>
        <v>-38</v>
      </c>
      <c r="L29" s="12">
        <f t="shared" si="7"/>
        <v>-1444.814293</v>
      </c>
      <c r="M29" s="19">
        <f t="shared" si="8"/>
        <v>-0.914634146341463</v>
      </c>
      <c r="N29" s="19">
        <f t="shared" si="9"/>
        <v>-7.4791957249524</v>
      </c>
      <c r="O29" s="12">
        <f t="shared" si="10"/>
        <v>325</v>
      </c>
      <c r="P29" s="12">
        <f t="shared" si="11"/>
        <v>11097.558315</v>
      </c>
      <c r="Q29" s="12">
        <f t="shared" si="12"/>
        <v>-3</v>
      </c>
      <c r="R29" s="12">
        <f t="shared" si="13"/>
        <v>-897.104293</v>
      </c>
      <c r="S29" s="12">
        <f t="shared" si="14"/>
        <v>-3</v>
      </c>
      <c r="T29" s="12">
        <f t="shared" si="15"/>
        <v>-897.104293</v>
      </c>
      <c r="U29" s="19">
        <f t="shared" si="16"/>
        <v>-0.914634146341463</v>
      </c>
      <c r="V29" s="19">
        <f t="shared" si="17"/>
        <v>-7.4791957249524</v>
      </c>
      <c r="W29" s="12"/>
      <c r="X29" s="29"/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327</v>
      </c>
      <c r="AJ29" s="47">
        <v>11406.451116</v>
      </c>
      <c r="AK29" s="47">
        <v>327</v>
      </c>
      <c r="AL29" s="47">
        <v>11406.451116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357</v>
      </c>
      <c r="D30" s="12">
        <v>9216.46537700001</v>
      </c>
      <c r="E30" s="12">
        <f t="shared" si="1"/>
        <v>1</v>
      </c>
      <c r="F30" s="12">
        <f t="shared" si="2"/>
        <v>-202.342772999991</v>
      </c>
      <c r="G30" s="12">
        <f t="shared" si="3"/>
        <v>34</v>
      </c>
      <c r="H30" s="12">
        <f t="shared" si="4"/>
        <v>97.2272270000103</v>
      </c>
      <c r="I30" s="12">
        <f t="shared" si="5"/>
        <v>34</v>
      </c>
      <c r="J30" s="12">
        <f t="shared" si="6"/>
        <v>97.2272270000103</v>
      </c>
      <c r="K30" s="12">
        <f t="shared" si="18"/>
        <v>-61</v>
      </c>
      <c r="L30" s="12">
        <f t="shared" si="7"/>
        <v>-922.91277299999</v>
      </c>
      <c r="M30" s="19">
        <f t="shared" si="8"/>
        <v>10.5263157894737</v>
      </c>
      <c r="N30" s="19">
        <f t="shared" si="9"/>
        <v>1.06617707971592</v>
      </c>
      <c r="O30" s="12">
        <f t="shared" si="10"/>
        <v>357</v>
      </c>
      <c r="P30" s="12">
        <f t="shared" si="11"/>
        <v>9216.46537700001</v>
      </c>
      <c r="Q30" s="12">
        <f t="shared" si="12"/>
        <v>34</v>
      </c>
      <c r="R30" s="12">
        <f t="shared" si="13"/>
        <v>97.2272270000103</v>
      </c>
      <c r="S30" s="12">
        <f t="shared" si="14"/>
        <v>34</v>
      </c>
      <c r="T30" s="12">
        <f t="shared" si="15"/>
        <v>97.2272270000103</v>
      </c>
      <c r="U30" s="19">
        <f t="shared" si="16"/>
        <v>10.5263157894737</v>
      </c>
      <c r="V30" s="19">
        <f t="shared" si="17"/>
        <v>1.06617707971592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356</v>
      </c>
      <c r="AJ30" s="47">
        <v>9418.80815</v>
      </c>
      <c r="AK30" s="47">
        <v>356</v>
      </c>
      <c r="AL30" s="47">
        <v>9418.80815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375</v>
      </c>
      <c r="D31" s="12">
        <v>10774.752056</v>
      </c>
      <c r="E31" s="12">
        <f t="shared" si="1"/>
        <v>0</v>
      </c>
      <c r="F31" s="12">
        <f t="shared" si="2"/>
        <v>-72.0900000000001</v>
      </c>
      <c r="G31" s="12">
        <f t="shared" si="3"/>
        <v>10</v>
      </c>
      <c r="H31" s="12">
        <f t="shared" si="4"/>
        <v>-306.757679</v>
      </c>
      <c r="I31" s="12">
        <f t="shared" si="5"/>
        <v>10</v>
      </c>
      <c r="J31" s="12">
        <f t="shared" si="6"/>
        <v>-306.757679</v>
      </c>
      <c r="K31" s="12">
        <f t="shared" si="18"/>
        <v>-38</v>
      </c>
      <c r="L31" s="12">
        <f t="shared" si="7"/>
        <v>-816.727679000001</v>
      </c>
      <c r="M31" s="19">
        <f t="shared" si="8"/>
        <v>2.73972602739726</v>
      </c>
      <c r="N31" s="19">
        <f t="shared" si="9"/>
        <v>-2.76819392245023</v>
      </c>
      <c r="O31" s="12">
        <f t="shared" si="10"/>
        <v>375</v>
      </c>
      <c r="P31" s="12">
        <f t="shared" si="11"/>
        <v>10774.752056</v>
      </c>
      <c r="Q31" s="12">
        <f t="shared" si="12"/>
        <v>10</v>
      </c>
      <c r="R31" s="12">
        <f t="shared" si="13"/>
        <v>-306.757679</v>
      </c>
      <c r="S31" s="12">
        <f t="shared" si="14"/>
        <v>10</v>
      </c>
      <c r="T31" s="12">
        <f t="shared" si="15"/>
        <v>-306.757679</v>
      </c>
      <c r="U31" s="19">
        <f t="shared" si="16"/>
        <v>2.73972602739726</v>
      </c>
      <c r="V31" s="19">
        <f t="shared" si="17"/>
        <v>-2.76819392245023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375</v>
      </c>
      <c r="AJ31" s="47">
        <v>10846.842056</v>
      </c>
      <c r="AK31" s="47">
        <v>375</v>
      </c>
      <c r="AL31" s="47">
        <v>10846.842056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518</v>
      </c>
      <c r="D32" s="12">
        <v>12546.793584</v>
      </c>
      <c r="E32" s="12">
        <f t="shared" si="1"/>
        <v>-1</v>
      </c>
      <c r="F32" s="12">
        <f t="shared" si="2"/>
        <v>-64.3141480000013</v>
      </c>
      <c r="G32" s="12">
        <f t="shared" si="3"/>
        <v>18</v>
      </c>
      <c r="H32" s="12">
        <f t="shared" si="4"/>
        <v>96.1280819999993</v>
      </c>
      <c r="I32" s="12">
        <f t="shared" si="5"/>
        <v>18</v>
      </c>
      <c r="J32" s="12">
        <f t="shared" si="6"/>
        <v>96.1280819999993</v>
      </c>
      <c r="K32" s="12">
        <f t="shared" si="18"/>
        <v>-42</v>
      </c>
      <c r="L32" s="12">
        <f t="shared" si="7"/>
        <v>-255.761918</v>
      </c>
      <c r="M32" s="19">
        <f t="shared" si="8"/>
        <v>3.6</v>
      </c>
      <c r="N32" s="19">
        <f t="shared" si="9"/>
        <v>0.772071838124298</v>
      </c>
      <c r="O32" s="12">
        <f t="shared" si="10"/>
        <v>518</v>
      </c>
      <c r="P32" s="12">
        <f t="shared" si="11"/>
        <v>12546.793584</v>
      </c>
      <c r="Q32" s="12">
        <f t="shared" si="12"/>
        <v>18</v>
      </c>
      <c r="R32" s="12">
        <f t="shared" si="13"/>
        <v>96.1280819999993</v>
      </c>
      <c r="S32" s="30">
        <f t="shared" si="14"/>
        <v>18</v>
      </c>
      <c r="T32" s="12">
        <f t="shared" si="15"/>
        <v>96.1280819999993</v>
      </c>
      <c r="U32" s="19">
        <f t="shared" si="16"/>
        <v>3.6</v>
      </c>
      <c r="V32" s="19">
        <f t="shared" si="17"/>
        <v>0.772071838124298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519</v>
      </c>
      <c r="AJ32" s="47">
        <v>12611.107732</v>
      </c>
      <c r="AK32" s="47">
        <v>519</v>
      </c>
      <c r="AL32" s="47">
        <v>12611.107732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2127</v>
      </c>
      <c r="D33" s="12">
        <v>96176.763728</v>
      </c>
      <c r="E33" s="12">
        <f t="shared" si="1"/>
        <v>1</v>
      </c>
      <c r="F33" s="12">
        <f t="shared" si="2"/>
        <v>-225.412150999997</v>
      </c>
      <c r="G33" s="12">
        <f t="shared" si="3"/>
        <v>-13</v>
      </c>
      <c r="H33" s="12">
        <f t="shared" si="4"/>
        <v>-2550.0661159999</v>
      </c>
      <c r="I33" s="12">
        <f t="shared" si="5"/>
        <v>-13</v>
      </c>
      <c r="J33" s="12">
        <f t="shared" si="6"/>
        <v>-2550.0661159999</v>
      </c>
      <c r="K33" s="12">
        <f t="shared" si="18"/>
        <v>-44</v>
      </c>
      <c r="L33" s="12">
        <f t="shared" si="7"/>
        <v>-1209.1461159999</v>
      </c>
      <c r="M33" s="19">
        <f t="shared" si="8"/>
        <v>-0.607476635514019</v>
      </c>
      <c r="N33" s="19">
        <f t="shared" si="9"/>
        <v>-2.5829514834309</v>
      </c>
      <c r="O33" s="12">
        <f t="shared" si="10"/>
        <v>2127</v>
      </c>
      <c r="P33" s="12">
        <f t="shared" si="11"/>
        <v>96176.763728</v>
      </c>
      <c r="Q33" s="12">
        <f t="shared" si="12"/>
        <v>-13</v>
      </c>
      <c r="R33" s="12">
        <f t="shared" si="13"/>
        <v>-2550.0661159999</v>
      </c>
      <c r="S33" s="30">
        <f t="shared" si="14"/>
        <v>-13</v>
      </c>
      <c r="T33" s="12">
        <f t="shared" si="15"/>
        <v>-2550.0661159999</v>
      </c>
      <c r="U33" s="19">
        <f t="shared" si="16"/>
        <v>-0.607476635514019</v>
      </c>
      <c r="V33" s="19">
        <f t="shared" si="17"/>
        <v>-2.5829514834309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2126</v>
      </c>
      <c r="AJ33" s="47">
        <v>96402.175879</v>
      </c>
      <c r="AK33" s="47">
        <v>2126</v>
      </c>
      <c r="AL33" s="47">
        <v>96402.175879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613</v>
      </c>
      <c r="D34" s="12">
        <v>27383.293934</v>
      </c>
      <c r="E34" s="12">
        <f t="shared" si="1"/>
        <v>-3</v>
      </c>
      <c r="F34" s="12">
        <f t="shared" si="2"/>
        <v>-96.7704940000003</v>
      </c>
      <c r="G34" s="12">
        <f t="shared" si="3"/>
        <v>4</v>
      </c>
      <c r="H34" s="12">
        <f t="shared" si="4"/>
        <v>102.590124000002</v>
      </c>
      <c r="I34" s="12">
        <f t="shared" si="5"/>
        <v>4</v>
      </c>
      <c r="J34" s="12">
        <f t="shared" si="6"/>
        <v>102.590124000002</v>
      </c>
      <c r="K34" s="12">
        <f t="shared" si="18"/>
        <v>-28</v>
      </c>
      <c r="L34" s="12">
        <f t="shared" si="7"/>
        <v>-1152.929876</v>
      </c>
      <c r="M34" s="19">
        <f t="shared" si="8"/>
        <v>0.656814449917898</v>
      </c>
      <c r="N34" s="19">
        <f t="shared" si="9"/>
        <v>0.376053802403722</v>
      </c>
      <c r="O34" s="12">
        <f t="shared" si="10"/>
        <v>613</v>
      </c>
      <c r="P34" s="12">
        <f t="shared" si="11"/>
        <v>27383.293934</v>
      </c>
      <c r="Q34" s="12">
        <f t="shared" si="12"/>
        <v>4</v>
      </c>
      <c r="R34" s="12">
        <f t="shared" si="13"/>
        <v>102.590124000002</v>
      </c>
      <c r="S34" s="12">
        <f t="shared" si="14"/>
        <v>4</v>
      </c>
      <c r="T34" s="12">
        <f t="shared" si="15"/>
        <v>102.590124000002</v>
      </c>
      <c r="U34" s="19">
        <f t="shared" si="16"/>
        <v>0.656814449917898</v>
      </c>
      <c r="V34" s="19">
        <f t="shared" si="17"/>
        <v>0.376053802403722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616</v>
      </c>
      <c r="AJ34" s="47">
        <v>27480.064428</v>
      </c>
      <c r="AK34" s="47">
        <v>616</v>
      </c>
      <c r="AL34" s="47">
        <v>27480.064428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2504</v>
      </c>
      <c r="D35" s="12">
        <v>96648</v>
      </c>
      <c r="E35" s="12">
        <f t="shared" si="1"/>
        <v>2</v>
      </c>
      <c r="F35" s="12">
        <f t="shared" si="2"/>
        <v>157</v>
      </c>
      <c r="G35" s="12">
        <f t="shared" si="3"/>
        <v>-17</v>
      </c>
      <c r="H35" s="12">
        <f t="shared" si="4"/>
        <v>-756</v>
      </c>
      <c r="I35" s="12">
        <f t="shared" si="5"/>
        <v>-17</v>
      </c>
      <c r="J35" s="12">
        <f t="shared" si="6"/>
        <v>-756</v>
      </c>
      <c r="K35" s="12">
        <f t="shared" si="18"/>
        <v>-140</v>
      </c>
      <c r="L35" s="12">
        <f t="shared" si="7"/>
        <v>-6070</v>
      </c>
      <c r="M35" s="19">
        <f t="shared" si="8"/>
        <v>-0.674335581118604</v>
      </c>
      <c r="N35" s="19">
        <f t="shared" si="9"/>
        <v>-0.776148823456942</v>
      </c>
      <c r="O35" s="12">
        <f t="shared" si="10"/>
        <v>2504</v>
      </c>
      <c r="P35" s="12">
        <f t="shared" si="11"/>
        <v>96648</v>
      </c>
      <c r="Q35" s="12">
        <f t="shared" si="12"/>
        <v>-17</v>
      </c>
      <c r="R35" s="12">
        <f t="shared" si="13"/>
        <v>-756</v>
      </c>
      <c r="S35" s="12">
        <f t="shared" si="14"/>
        <v>-17</v>
      </c>
      <c r="T35" s="12">
        <f t="shared" si="15"/>
        <v>-756</v>
      </c>
      <c r="U35" s="19">
        <f t="shared" si="16"/>
        <v>-0.674335581118604</v>
      </c>
      <c r="V35" s="19">
        <f t="shared" si="17"/>
        <v>-0.776148823456942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2502</v>
      </c>
      <c r="AJ35" s="47">
        <v>96491</v>
      </c>
      <c r="AK35" s="47">
        <v>2502</v>
      </c>
      <c r="AL35" s="47">
        <v>96491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2543</v>
      </c>
      <c r="D36" s="12">
        <v>84468</v>
      </c>
      <c r="E36" s="12">
        <f t="shared" si="1"/>
        <v>1</v>
      </c>
      <c r="F36" s="12">
        <f t="shared" si="2"/>
        <v>-21</v>
      </c>
      <c r="G36" s="12">
        <f t="shared" si="3"/>
        <v>0</v>
      </c>
      <c r="H36" s="12">
        <f t="shared" si="4"/>
        <v>-97</v>
      </c>
      <c r="I36" s="12">
        <f t="shared" si="5"/>
        <v>0</v>
      </c>
      <c r="J36" s="12">
        <f t="shared" si="6"/>
        <v>-97</v>
      </c>
      <c r="K36" s="12">
        <f t="shared" si="18"/>
        <v>-3</v>
      </c>
      <c r="L36" s="12">
        <f t="shared" si="7"/>
        <v>-103</v>
      </c>
      <c r="M36" s="19">
        <f t="shared" si="8"/>
        <v>0</v>
      </c>
      <c r="N36" s="19">
        <f t="shared" si="9"/>
        <v>-0.114704665050553</v>
      </c>
      <c r="O36" s="12">
        <f t="shared" si="10"/>
        <v>2543</v>
      </c>
      <c r="P36" s="12">
        <f t="shared" si="11"/>
        <v>84468</v>
      </c>
      <c r="Q36" s="12">
        <f t="shared" si="12"/>
        <v>0</v>
      </c>
      <c r="R36" s="12">
        <f t="shared" si="13"/>
        <v>-97</v>
      </c>
      <c r="S36" s="12">
        <f t="shared" si="14"/>
        <v>0</v>
      </c>
      <c r="T36" s="12">
        <f t="shared" si="15"/>
        <v>-97</v>
      </c>
      <c r="U36" s="19">
        <f t="shared" si="16"/>
        <v>0</v>
      </c>
      <c r="V36" s="19">
        <f t="shared" si="17"/>
        <v>-0.114704665050553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2542</v>
      </c>
      <c r="AJ36" s="47">
        <v>84489</v>
      </c>
      <c r="AK36" s="47">
        <v>2542</v>
      </c>
      <c r="AL36" s="47">
        <v>84489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309</v>
      </c>
      <c r="D37" s="12">
        <v>13676.688856</v>
      </c>
      <c r="E37" s="12">
        <f t="shared" si="1"/>
        <v>2</v>
      </c>
      <c r="F37" s="12">
        <f t="shared" si="2"/>
        <v>34.9500000000007</v>
      </c>
      <c r="G37" s="12">
        <f t="shared" si="3"/>
        <v>16</v>
      </c>
      <c r="H37" s="12">
        <f t="shared" si="4"/>
        <v>23.5100000000002</v>
      </c>
      <c r="I37" s="12">
        <f t="shared" si="5"/>
        <v>16</v>
      </c>
      <c r="J37" s="12">
        <f t="shared" si="6"/>
        <v>23.5100000000002</v>
      </c>
      <c r="K37" s="12">
        <f t="shared" si="18"/>
        <v>-28</v>
      </c>
      <c r="L37" s="12">
        <f t="shared" si="7"/>
        <v>-982.1</v>
      </c>
      <c r="M37" s="19">
        <f t="shared" si="8"/>
        <v>5.46075085324232</v>
      </c>
      <c r="N37" s="19">
        <f t="shared" si="9"/>
        <v>0.172194331063557</v>
      </c>
      <c r="O37" s="12">
        <f t="shared" si="10"/>
        <v>309</v>
      </c>
      <c r="P37" s="12">
        <f t="shared" si="11"/>
        <v>13676.688856</v>
      </c>
      <c r="Q37" s="12">
        <f t="shared" si="12"/>
        <v>16</v>
      </c>
      <c r="R37" s="12">
        <f t="shared" si="13"/>
        <v>23.5100000000002</v>
      </c>
      <c r="S37" s="12">
        <f t="shared" si="14"/>
        <v>16</v>
      </c>
      <c r="T37" s="12">
        <f t="shared" si="15"/>
        <v>23.5100000000002</v>
      </c>
      <c r="U37" s="19">
        <f t="shared" si="16"/>
        <v>5.46075085324232</v>
      </c>
      <c r="V37" s="19">
        <f t="shared" si="17"/>
        <v>0.172194331063557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13641.738856</v>
      </c>
      <c r="AK37" s="47">
        <v>307</v>
      </c>
      <c r="AL37" s="47">
        <v>13641.738856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443</v>
      </c>
      <c r="D38" s="12">
        <v>19490.259563</v>
      </c>
      <c r="E38" s="12">
        <f t="shared" si="1"/>
        <v>1</v>
      </c>
      <c r="F38" s="12">
        <f t="shared" si="2"/>
        <v>-39.9535409999989</v>
      </c>
      <c r="G38" s="12">
        <f t="shared" si="3"/>
        <v>-1</v>
      </c>
      <c r="H38" s="12">
        <f t="shared" si="4"/>
        <v>-238.465539000001</v>
      </c>
      <c r="I38" s="12">
        <f t="shared" si="5"/>
        <v>-1</v>
      </c>
      <c r="J38" s="12">
        <f t="shared" si="6"/>
        <v>-238.465539000001</v>
      </c>
      <c r="K38" s="12">
        <f t="shared" si="18"/>
        <v>-41</v>
      </c>
      <c r="L38" s="12">
        <f t="shared" si="7"/>
        <v>-1257.465539</v>
      </c>
      <c r="M38" s="19">
        <f t="shared" si="8"/>
        <v>-0.225225225225225</v>
      </c>
      <c r="N38" s="19">
        <f t="shared" si="9"/>
        <v>-1.20872249862626</v>
      </c>
      <c r="O38" s="12">
        <f t="shared" si="10"/>
        <v>443</v>
      </c>
      <c r="P38" s="12">
        <f t="shared" si="11"/>
        <v>19490.259563</v>
      </c>
      <c r="Q38" s="12">
        <f t="shared" si="12"/>
        <v>-1</v>
      </c>
      <c r="R38" s="12">
        <f t="shared" si="13"/>
        <v>-238.465539000001</v>
      </c>
      <c r="S38" s="12">
        <f t="shared" si="14"/>
        <v>-1</v>
      </c>
      <c r="T38" s="12">
        <f t="shared" si="15"/>
        <v>-238.465539000001</v>
      </c>
      <c r="U38" s="19">
        <f t="shared" si="16"/>
        <v>-0.225225225225225</v>
      </c>
      <c r="V38" s="19">
        <f t="shared" si="17"/>
        <v>-1.20872249862626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442</v>
      </c>
      <c r="AJ38" s="47">
        <v>19530.213104</v>
      </c>
      <c r="AK38" s="47">
        <v>442</v>
      </c>
      <c r="AL38" s="47">
        <v>19530.213104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421</v>
      </c>
      <c r="D39" s="12">
        <v>18170.559487</v>
      </c>
      <c r="E39" s="12">
        <f t="shared" si="1"/>
        <v>2</v>
      </c>
      <c r="F39" s="12">
        <f t="shared" si="2"/>
        <v>-36.9547579999999</v>
      </c>
      <c r="G39" s="12">
        <f t="shared" si="3"/>
        <v>17</v>
      </c>
      <c r="H39" s="12">
        <f t="shared" si="4"/>
        <v>612.121003999997</v>
      </c>
      <c r="I39" s="12">
        <f t="shared" si="5"/>
        <v>17</v>
      </c>
      <c r="J39" s="12">
        <f t="shared" si="6"/>
        <v>612.121003999997</v>
      </c>
      <c r="K39" s="12">
        <f t="shared" si="18"/>
        <v>-1</v>
      </c>
      <c r="L39" s="12">
        <f t="shared" si="7"/>
        <v>-389.058996000003</v>
      </c>
      <c r="M39" s="19">
        <f t="shared" si="8"/>
        <v>4.20792079207921</v>
      </c>
      <c r="N39" s="19">
        <f t="shared" si="9"/>
        <v>3.48619271920251</v>
      </c>
      <c r="O39" s="12">
        <f t="shared" si="10"/>
        <v>421</v>
      </c>
      <c r="P39" s="12">
        <f t="shared" si="11"/>
        <v>18170.559487</v>
      </c>
      <c r="Q39" s="12">
        <f t="shared" si="12"/>
        <v>17</v>
      </c>
      <c r="R39" s="12">
        <f t="shared" si="13"/>
        <v>612.121003999997</v>
      </c>
      <c r="S39" s="12">
        <f t="shared" si="14"/>
        <v>17</v>
      </c>
      <c r="T39" s="12">
        <f t="shared" si="15"/>
        <v>612.121003999997</v>
      </c>
      <c r="U39" s="19">
        <f t="shared" si="16"/>
        <v>4.20792079207921</v>
      </c>
      <c r="V39" s="19">
        <f t="shared" si="17"/>
        <v>3.48619271920251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419</v>
      </c>
      <c r="AJ39" s="47">
        <v>18207.514245</v>
      </c>
      <c r="AK39" s="47">
        <v>419</v>
      </c>
      <c r="AL39" s="47">
        <v>18207.514245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329</v>
      </c>
      <c r="D40" s="12">
        <v>426665.974804</v>
      </c>
      <c r="E40" s="12">
        <f t="shared" si="1"/>
        <v>4</v>
      </c>
      <c r="F40" s="12">
        <f t="shared" si="2"/>
        <v>4900</v>
      </c>
      <c r="G40" s="12">
        <f t="shared" si="3"/>
        <v>5</v>
      </c>
      <c r="H40" s="12">
        <f t="shared" si="4"/>
        <v>8035</v>
      </c>
      <c r="I40" s="12">
        <f t="shared" si="5"/>
        <v>5</v>
      </c>
      <c r="J40" s="12">
        <f t="shared" si="6"/>
        <v>8035</v>
      </c>
      <c r="K40" s="12">
        <f t="shared" si="18"/>
        <v>-6</v>
      </c>
      <c r="L40" s="12">
        <f t="shared" si="7"/>
        <v>-1187.97000000003</v>
      </c>
      <c r="M40" s="19">
        <f t="shared" si="8"/>
        <v>1.54320987654321</v>
      </c>
      <c r="N40" s="19">
        <f t="shared" si="9"/>
        <v>1.91935152523339</v>
      </c>
      <c r="O40" s="12">
        <f t="shared" si="10"/>
        <v>329</v>
      </c>
      <c r="P40" s="12">
        <f t="shared" si="11"/>
        <v>426665.974804</v>
      </c>
      <c r="Q40" s="12">
        <f t="shared" si="12"/>
        <v>5</v>
      </c>
      <c r="R40" s="12">
        <f t="shared" si="13"/>
        <v>8035</v>
      </c>
      <c r="S40" s="12">
        <f t="shared" si="14"/>
        <v>5</v>
      </c>
      <c r="T40" s="12">
        <f t="shared" si="15"/>
        <v>8035</v>
      </c>
      <c r="U40" s="19">
        <f t="shared" si="16"/>
        <v>1.54320987654321</v>
      </c>
      <c r="V40" s="19">
        <f t="shared" si="17"/>
        <v>1.91935152523339</v>
      </c>
      <c r="W40" s="12"/>
      <c r="X40" s="29"/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325</v>
      </c>
      <c r="AJ40" s="47">
        <v>421765.974804</v>
      </c>
      <c r="AK40" s="47">
        <v>325</v>
      </c>
      <c r="AL40" s="47">
        <v>421765.974804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352</v>
      </c>
      <c r="D41" s="12">
        <v>17616.053106</v>
      </c>
      <c r="E41" s="12">
        <f t="shared" si="1"/>
        <v>0</v>
      </c>
      <c r="F41" s="12">
        <f t="shared" si="2"/>
        <v>26.0985299999993</v>
      </c>
      <c r="G41" s="12">
        <f t="shared" si="3"/>
        <v>0</v>
      </c>
      <c r="H41" s="12">
        <f t="shared" si="4"/>
        <v>10.2269909999995</v>
      </c>
      <c r="I41" s="12">
        <f t="shared" si="5"/>
        <v>0</v>
      </c>
      <c r="J41" s="12">
        <f t="shared" si="6"/>
        <v>10.2269909999995</v>
      </c>
      <c r="K41" s="12">
        <f t="shared" si="18"/>
        <v>-34</v>
      </c>
      <c r="L41" s="12">
        <f t="shared" si="7"/>
        <v>-910.533009000002</v>
      </c>
      <c r="M41" s="19">
        <f t="shared" si="8"/>
        <v>0</v>
      </c>
      <c r="N41" s="19">
        <f t="shared" si="9"/>
        <v>0.058088674358122</v>
      </c>
      <c r="O41" s="12">
        <f>C41+W41+AA41-AC41+Y41</f>
        <v>352</v>
      </c>
      <c r="P41" s="12">
        <f>D41+X41+AB41-AD41+Z41</f>
        <v>17616.053106</v>
      </c>
      <c r="Q41" s="12">
        <f t="shared" si="12"/>
        <v>0</v>
      </c>
      <c r="R41" s="12">
        <f t="shared" si="13"/>
        <v>10.2269909999995</v>
      </c>
      <c r="S41" s="12">
        <f t="shared" si="14"/>
        <v>0</v>
      </c>
      <c r="T41" s="12">
        <f t="shared" si="15"/>
        <v>10.2269909999995</v>
      </c>
      <c r="U41" s="19">
        <f t="shared" si="16"/>
        <v>0</v>
      </c>
      <c r="V41" s="19">
        <f t="shared" si="17"/>
        <v>0.058088674358122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352</v>
      </c>
      <c r="AJ41" s="47">
        <v>17589.954576</v>
      </c>
      <c r="AK41" s="47">
        <v>352</v>
      </c>
      <c r="AL41" s="47">
        <v>17589.954576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1742511</v>
      </c>
      <c r="E42" s="16"/>
      <c r="F42" s="12">
        <v>4817</v>
      </c>
      <c r="G42" s="16"/>
      <c r="H42" s="12">
        <v>4569</v>
      </c>
      <c r="I42" s="16"/>
      <c r="J42" s="12">
        <v>4569</v>
      </c>
      <c r="K42" s="12"/>
      <c r="L42" s="12"/>
      <c r="M42" s="20"/>
      <c r="N42" s="19">
        <v>0.26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2026-01-08T00:52:35Z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