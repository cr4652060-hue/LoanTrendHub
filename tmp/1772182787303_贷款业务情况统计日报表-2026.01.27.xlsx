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 tabRatio="870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<sst xmlns="http://schemas.openxmlformats.org/spreadsheetml/2006/main" count="139" uniqueCount="66">
  <si>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</si>
  <si>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2026.01.27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</si>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</sst>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176" fontId="3" fillId="0" borderId="6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6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2" borderId="13" xfId="0" applyNumberFormat="1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H11" sqref="H11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25214</v>
      </c>
      <c r="D6" s="12">
        <f>SUM(D7:D41)</f>
        <v>1418946.608917</v>
      </c>
      <c r="E6" s="12">
        <f>C6-AI6</f>
        <v>63</v>
      </c>
      <c r="F6" s="12">
        <f>D6-AJ6</f>
        <v>2067.84058700013</v>
      </c>
      <c r="G6" s="12">
        <f>C6-AM6</f>
        <v>623</v>
      </c>
      <c r="H6" s="12">
        <f>D6-AN6</f>
        <v>25505.0629300002</v>
      </c>
      <c r="I6" s="12">
        <f>C6-AE6</f>
        <v>623</v>
      </c>
      <c r="J6" s="12">
        <f>D6-AF6</f>
        <v>25505.0629300002</v>
      </c>
      <c r="K6" s="12">
        <f>I6-AS6</f>
        <v>-909</v>
      </c>
      <c r="L6" s="12">
        <f>J6-AT6</f>
        <v>-18345.4270699996</v>
      </c>
      <c r="M6" s="19">
        <f>I6/AE6*100</f>
        <v>2.53344719612866</v>
      </c>
      <c r="N6" s="19">
        <f>J6/AF6*100</f>
        <v>1.83036475433453</v>
      </c>
      <c r="O6" s="12">
        <f>C6+Y6</f>
        <v>25214</v>
      </c>
      <c r="P6" s="12">
        <f>D6+Z6</f>
        <v>1418946.608917</v>
      </c>
      <c r="Q6" s="12">
        <f>O6-AO6</f>
        <v>623</v>
      </c>
      <c r="R6" s="12">
        <f>P6-AP6</f>
        <v>25505.0629300002</v>
      </c>
      <c r="S6" s="30">
        <f>O6-AG6</f>
        <v>623</v>
      </c>
      <c r="T6" s="12">
        <f>P6-AH6</f>
        <v>25505.0629300002</v>
      </c>
      <c r="U6" s="19">
        <f>S6/AG6*100</f>
        <v>2.53344719612866</v>
      </c>
      <c r="V6" s="19">
        <f>T6/AH6*100</f>
        <v>1.83036475433453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25151</v>
      </c>
      <c r="AJ6" s="47">
        <v>1416878.76833</v>
      </c>
      <c r="AK6" s="47">
        <v>25151</v>
      </c>
      <c r="AL6" s="48">
        <v>1416878.76833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1658</v>
      </c>
      <c r="D7" s="12">
        <v>81102.1829030001</v>
      </c>
      <c r="E7" s="12">
        <f>C7-AI7</f>
        <v>2</v>
      </c>
      <c r="F7" s="12">
        <f>D7-AJ7</f>
        <v>259.225597000099</v>
      </c>
      <c r="G7" s="12">
        <f>C7-AM7</f>
        <v>1</v>
      </c>
      <c r="H7" s="12">
        <f>D7-AN7</f>
        <v>-1307.73299299991</v>
      </c>
      <c r="I7" s="12">
        <f>C7-AE7</f>
        <v>1</v>
      </c>
      <c r="J7" s="12">
        <f>D7-AF7</f>
        <v>-1307.73299299991</v>
      </c>
      <c r="K7" s="12">
        <f t="shared" ref="K6:K12" si="0">I7-AS7</f>
        <v>-30</v>
      </c>
      <c r="L7" s="12">
        <f>J7-AT7</f>
        <v>-2815.27299299992</v>
      </c>
      <c r="M7" s="19">
        <f>I7/AE7*100</f>
        <v>0.0603500301750151</v>
      </c>
      <c r="N7" s="19">
        <f>J7/AF7*100</f>
        <v>-1.58686364229548</v>
      </c>
      <c r="O7" s="12">
        <f>C7+W7+AA7-AC7</f>
        <v>1658</v>
      </c>
      <c r="P7" s="12">
        <f>D7+X7+AB7-AD7</f>
        <v>81102.1829030001</v>
      </c>
      <c r="Q7" s="12">
        <f>O7-AO7</f>
        <v>1</v>
      </c>
      <c r="R7" s="12">
        <f>P7-AP7</f>
        <v>-1307.73299299991</v>
      </c>
      <c r="S7" s="12">
        <f>O7-AG7</f>
        <v>1</v>
      </c>
      <c r="T7" s="12">
        <f>P7-AH7</f>
        <v>-1307.73299299991</v>
      </c>
      <c r="U7" s="19">
        <f>S7/AG7*100</f>
        <v>0.0603500301750151</v>
      </c>
      <c r="V7" s="19">
        <f>T7/AH7*100</f>
        <v>-1.58686364229548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1656</v>
      </c>
      <c r="AJ7" s="47">
        <v>80842.957306</v>
      </c>
      <c r="AK7" s="47">
        <v>1656</v>
      </c>
      <c r="AL7" s="47">
        <v>80842.957306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1909</v>
      </c>
      <c r="D8" s="12">
        <v>120893.771431</v>
      </c>
      <c r="E8" s="12">
        <f>C8-AI8</f>
        <v>5</v>
      </c>
      <c r="F8" s="12">
        <f>D8-AJ8</f>
        <v>233.529932999998</v>
      </c>
      <c r="G8" s="12">
        <f>C8-AM8</f>
        <v>-16</v>
      </c>
      <c r="H8" s="12">
        <f>D8-AN8</f>
        <v>-2334.598165</v>
      </c>
      <c r="I8" s="12">
        <f>C8-AE8</f>
        <v>-16</v>
      </c>
      <c r="J8" s="12">
        <f>D8-AF8</f>
        <v>-2334.598165</v>
      </c>
      <c r="K8" s="12">
        <f t="shared" si="0"/>
        <v>-16</v>
      </c>
      <c r="L8" s="12">
        <f>J8-AT8</f>
        <v>-1220.74816499999</v>
      </c>
      <c r="M8" s="19">
        <f>I8/AE8*100</f>
        <v>-0.831168831168831</v>
      </c>
      <c r="N8" s="19">
        <f>J8/AF8*100</f>
        <v>-1.89452978454061</v>
      </c>
      <c r="O8" s="12">
        <f>C8+W8+AA8-AC8</f>
        <v>1917</v>
      </c>
      <c r="P8" s="12">
        <f>D8+X8+AB8-AD8</f>
        <v>121099.137431</v>
      </c>
      <c r="Q8" s="12">
        <f>O8-AO8</f>
        <v>-8</v>
      </c>
      <c r="R8" s="12">
        <f>P8-AP8</f>
        <v>-2129.23216500001</v>
      </c>
      <c r="S8" s="30">
        <f>O8-AG8</f>
        <v>-8</v>
      </c>
      <c r="T8" s="12">
        <f>P8-AH8</f>
        <v>-2129.23216500001</v>
      </c>
      <c r="U8" s="19">
        <f>S8/AG8*100</f>
        <v>-0.415584415584416</v>
      </c>
      <c r="V8" s="19">
        <f>T8/AH8*100</f>
        <v>-1.72787497877366</v>
      </c>
      <c r="W8" s="12"/>
      <c r="X8" s="29"/>
      <c r="Y8" s="29"/>
      <c r="Z8" s="29"/>
      <c r="AA8" s="29">
        <v>8</v>
      </c>
      <c r="AB8" s="12">
        <v>205.366</v>
      </c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1904</v>
      </c>
      <c r="AJ8" s="47">
        <v>120660.241498</v>
      </c>
      <c r="AK8" s="47">
        <v>1912</v>
      </c>
      <c r="AL8" s="47">
        <v>120865.607498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774</v>
      </c>
      <c r="D9" s="12">
        <v>23392.550742</v>
      </c>
      <c r="E9" s="12">
        <f t="shared" ref="E9:E41" si="1">C9-AI9</f>
        <v>5</v>
      </c>
      <c r="F9" s="12">
        <f t="shared" ref="F9:F41" si="2">D9-AJ9</f>
        <v>76.7165319999986</v>
      </c>
      <c r="G9" s="12">
        <f t="shared" ref="G9:G41" si="3">C9-AM9</f>
        <v>61</v>
      </c>
      <c r="H9" s="12">
        <f t="shared" ref="H9:H41" si="4">D9-AN9</f>
        <v>274.255505999998</v>
      </c>
      <c r="I9" s="12">
        <f t="shared" ref="I9:I41" si="5">C9-AE9</f>
        <v>61</v>
      </c>
      <c r="J9" s="12">
        <f t="shared" ref="J9:J41" si="6">D9-AF9</f>
        <v>274.255505999998</v>
      </c>
      <c r="K9" s="12">
        <f t="shared" si="0"/>
        <v>-40</v>
      </c>
      <c r="L9" s="12">
        <f t="shared" ref="L9:L41" si="7">J9-AT9</f>
        <v>-978.824494000002</v>
      </c>
      <c r="M9" s="19">
        <f t="shared" ref="M9:M41" si="8">I9/AE9*100</f>
        <v>8.55539971949509</v>
      </c>
      <c r="N9" s="19">
        <f t="shared" ref="N9:N41" si="9">J9/AF9*100</f>
        <v>1.18631371041981</v>
      </c>
      <c r="O9" s="12">
        <f t="shared" ref="O9:O40" si="10">C9+W9+AA9-AC9</f>
        <v>774</v>
      </c>
      <c r="P9" s="12">
        <f t="shared" ref="P9:P40" si="11">D9+X9+AB9-AD9</f>
        <v>23392.550742</v>
      </c>
      <c r="Q9" s="12">
        <f t="shared" ref="Q9:Q41" si="12">O9-AO9</f>
        <v>61</v>
      </c>
      <c r="R9" s="12">
        <f t="shared" ref="R9:R41" si="13">P9-AP9</f>
        <v>274.255505999998</v>
      </c>
      <c r="S9" s="12">
        <f t="shared" ref="S9:S41" si="14">O9-AG9</f>
        <v>61</v>
      </c>
      <c r="T9" s="12">
        <f t="shared" ref="T9:T41" si="15">P9-AH9</f>
        <v>274.255505999998</v>
      </c>
      <c r="U9" s="19">
        <f t="shared" ref="U9:U41" si="16">S9/AG9*100</f>
        <v>8.55539971949509</v>
      </c>
      <c r="V9" s="19">
        <f t="shared" ref="V9:V41" si="17">T9/AH9*100</f>
        <v>1.18631371041981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769</v>
      </c>
      <c r="AJ9" s="47">
        <v>23315.83421</v>
      </c>
      <c r="AK9" s="47">
        <v>769</v>
      </c>
      <c r="AL9" s="47">
        <v>23315.83421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928</v>
      </c>
      <c r="D10" s="12">
        <v>27771.466252</v>
      </c>
      <c r="E10" s="12">
        <f t="shared" si="1"/>
        <v>-3</v>
      </c>
      <c r="F10" s="12">
        <f t="shared" si="2"/>
        <v>-65.7231840000022</v>
      </c>
      <c r="G10" s="12">
        <f t="shared" si="3"/>
        <v>37</v>
      </c>
      <c r="H10" s="12">
        <f t="shared" si="4"/>
        <v>-104.234823000003</v>
      </c>
      <c r="I10" s="12">
        <f t="shared" si="5"/>
        <v>37</v>
      </c>
      <c r="J10" s="12">
        <f t="shared" si="6"/>
        <v>-104.234823000003</v>
      </c>
      <c r="K10" s="12">
        <f t="shared" si="0"/>
        <v>19</v>
      </c>
      <c r="L10" s="12">
        <f t="shared" si="7"/>
        <v>-1815.004823</v>
      </c>
      <c r="M10" s="19">
        <f t="shared" si="8"/>
        <v>4.15263748597082</v>
      </c>
      <c r="N10" s="19">
        <f t="shared" si="9"/>
        <v>-0.373927180233269</v>
      </c>
      <c r="O10" s="12">
        <f t="shared" si="10"/>
        <v>928</v>
      </c>
      <c r="P10" s="12">
        <f t="shared" si="11"/>
        <v>27771.466252</v>
      </c>
      <c r="Q10" s="12">
        <f t="shared" si="12"/>
        <v>37</v>
      </c>
      <c r="R10" s="12">
        <f t="shared" si="13"/>
        <v>-104.234823000003</v>
      </c>
      <c r="S10" s="12">
        <f t="shared" si="14"/>
        <v>37</v>
      </c>
      <c r="T10" s="12">
        <f t="shared" si="15"/>
        <v>-104.234823000003</v>
      </c>
      <c r="U10" s="19">
        <f t="shared" si="16"/>
        <v>4.15263748597082</v>
      </c>
      <c r="V10" s="19">
        <f t="shared" si="17"/>
        <v>-0.373927180233269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931</v>
      </c>
      <c r="AJ10" s="47">
        <v>27837.189436</v>
      </c>
      <c r="AK10" s="47">
        <v>931</v>
      </c>
      <c r="AL10" s="47">
        <v>27837.189436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517</v>
      </c>
      <c r="D11" s="12">
        <v>12750.164975</v>
      </c>
      <c r="E11" s="12">
        <f t="shared" si="1"/>
        <v>2</v>
      </c>
      <c r="F11" s="12">
        <f t="shared" si="2"/>
        <v>90</v>
      </c>
      <c r="G11" s="12">
        <f t="shared" si="3"/>
        <v>26</v>
      </c>
      <c r="H11" s="12">
        <f t="shared" si="4"/>
        <v>608.693160999999</v>
      </c>
      <c r="I11" s="12">
        <f t="shared" si="5"/>
        <v>26</v>
      </c>
      <c r="J11" s="12">
        <f t="shared" si="6"/>
        <v>608.693160999999</v>
      </c>
      <c r="K11" s="12">
        <f t="shared" si="0"/>
        <v>-13</v>
      </c>
      <c r="L11" s="12">
        <f t="shared" si="7"/>
        <v>-327.966839000001</v>
      </c>
      <c r="M11" s="19">
        <f t="shared" si="8"/>
        <v>5.29531568228106</v>
      </c>
      <c r="N11" s="19">
        <f t="shared" si="9"/>
        <v>5.0133391595748</v>
      </c>
      <c r="O11" s="12">
        <f t="shared" si="10"/>
        <v>517</v>
      </c>
      <c r="P11" s="12">
        <f t="shared" si="11"/>
        <v>12750.164975</v>
      </c>
      <c r="Q11" s="12">
        <f t="shared" si="12"/>
        <v>26</v>
      </c>
      <c r="R11" s="12">
        <f t="shared" si="13"/>
        <v>608.693160999999</v>
      </c>
      <c r="S11" s="12">
        <f t="shared" si="14"/>
        <v>26</v>
      </c>
      <c r="T11" s="12">
        <f t="shared" si="15"/>
        <v>608.693160999999</v>
      </c>
      <c r="U11" s="19">
        <f t="shared" si="16"/>
        <v>5.29531568228106</v>
      </c>
      <c r="V11" s="19">
        <f t="shared" si="17"/>
        <v>5.0133391595748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515</v>
      </c>
      <c r="AJ11" s="47">
        <v>12660.164975</v>
      </c>
      <c r="AK11" s="47">
        <v>515</v>
      </c>
      <c r="AL11" s="47">
        <v>12660.164975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401</v>
      </c>
      <c r="D12" s="12">
        <v>14502.786273</v>
      </c>
      <c r="E12" s="12">
        <f t="shared" si="1"/>
        <v>0</v>
      </c>
      <c r="F12" s="12">
        <f t="shared" si="2"/>
        <v>139.9588</v>
      </c>
      <c r="G12" s="12">
        <f t="shared" si="3"/>
        <v>43</v>
      </c>
      <c r="H12" s="12">
        <f t="shared" si="4"/>
        <v>1127.539936</v>
      </c>
      <c r="I12" s="12">
        <f t="shared" si="5"/>
        <v>43</v>
      </c>
      <c r="J12" s="12">
        <f t="shared" si="6"/>
        <v>1127.539936</v>
      </c>
      <c r="K12" s="12">
        <f t="shared" si="0"/>
        <v>-30</v>
      </c>
      <c r="L12" s="12">
        <f t="shared" si="7"/>
        <v>-366.460064000001</v>
      </c>
      <c r="M12" s="19">
        <f t="shared" si="8"/>
        <v>12.0111731843575</v>
      </c>
      <c r="N12" s="19">
        <f t="shared" si="9"/>
        <v>8.43004986667708</v>
      </c>
      <c r="O12" s="12">
        <f t="shared" si="10"/>
        <v>401</v>
      </c>
      <c r="P12" s="12">
        <f t="shared" si="11"/>
        <v>14502.786273</v>
      </c>
      <c r="Q12" s="12">
        <f t="shared" si="12"/>
        <v>43</v>
      </c>
      <c r="R12" s="12">
        <f t="shared" si="13"/>
        <v>1127.539936</v>
      </c>
      <c r="S12" s="30">
        <f t="shared" si="14"/>
        <v>43</v>
      </c>
      <c r="T12" s="12">
        <f t="shared" si="15"/>
        <v>1127.539936</v>
      </c>
      <c r="U12" s="19">
        <f t="shared" si="16"/>
        <v>12.0111731843575</v>
      </c>
      <c r="V12" s="19">
        <f t="shared" si="17"/>
        <v>8.43004986667708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401</v>
      </c>
      <c r="AJ12" s="47">
        <v>14362.827473</v>
      </c>
      <c r="AK12" s="47">
        <v>401</v>
      </c>
      <c r="AL12" s="47">
        <v>14362.827473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481</v>
      </c>
      <c r="D13" s="12">
        <v>11814.556089</v>
      </c>
      <c r="E13" s="12">
        <f t="shared" si="1"/>
        <v>1</v>
      </c>
      <c r="F13" s="12">
        <f t="shared" si="2"/>
        <v>17.5247180000006</v>
      </c>
      <c r="G13" s="12">
        <f t="shared" si="3"/>
        <v>12</v>
      </c>
      <c r="H13" s="12">
        <f t="shared" si="4"/>
        <v>-222.733527</v>
      </c>
      <c r="I13" s="12">
        <f t="shared" si="5"/>
        <v>12</v>
      </c>
      <c r="J13" s="12">
        <f t="shared" si="6"/>
        <v>-222.733527</v>
      </c>
      <c r="K13" s="12">
        <f t="shared" ref="K9:K41" si="18">I13-AS13</f>
        <v>9</v>
      </c>
      <c r="L13" s="12">
        <f t="shared" si="7"/>
        <v>-789.203527000001</v>
      </c>
      <c r="M13" s="19">
        <f t="shared" si="8"/>
        <v>2.55863539445629</v>
      </c>
      <c r="N13" s="19">
        <f t="shared" si="9"/>
        <v>-1.85036278186696</v>
      </c>
      <c r="O13" s="12">
        <f t="shared" si="10"/>
        <v>485</v>
      </c>
      <c r="P13" s="12">
        <f t="shared" si="11"/>
        <v>11904.056089</v>
      </c>
      <c r="Q13" s="12">
        <f t="shared" si="12"/>
        <v>16</v>
      </c>
      <c r="R13" s="12">
        <f t="shared" si="13"/>
        <v>-133.233527</v>
      </c>
      <c r="S13" s="12">
        <f t="shared" si="14"/>
        <v>16</v>
      </c>
      <c r="T13" s="12">
        <f t="shared" si="15"/>
        <v>-133.233527</v>
      </c>
      <c r="U13" s="19">
        <f t="shared" si="16"/>
        <v>3.41151385927505</v>
      </c>
      <c r="V13" s="19">
        <f t="shared" si="17"/>
        <v>-1.10683992202785</v>
      </c>
      <c r="W13" s="12"/>
      <c r="X13" s="29"/>
      <c r="Y13" s="29"/>
      <c r="Z13" s="29"/>
      <c r="AA13" s="29">
        <v>4</v>
      </c>
      <c r="AB13" s="12">
        <v>89.5</v>
      </c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480</v>
      </c>
      <c r="AJ13" s="47">
        <v>11797.031371</v>
      </c>
      <c r="AK13" s="47">
        <v>484</v>
      </c>
      <c r="AL13" s="47">
        <v>11886.531371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384</v>
      </c>
      <c r="D14" s="12">
        <v>10739.118579</v>
      </c>
      <c r="E14" s="12">
        <f t="shared" si="1"/>
        <v>6</v>
      </c>
      <c r="F14" s="12">
        <f t="shared" si="2"/>
        <v>11.6800000000003</v>
      </c>
      <c r="G14" s="12">
        <f t="shared" si="3"/>
        <v>36</v>
      </c>
      <c r="H14" s="12">
        <f t="shared" si="4"/>
        <v>159.427530999999</v>
      </c>
      <c r="I14" s="12">
        <f t="shared" si="5"/>
        <v>36</v>
      </c>
      <c r="J14" s="12">
        <f t="shared" si="6"/>
        <v>159.427530999999</v>
      </c>
      <c r="K14" s="12">
        <f t="shared" si="18"/>
        <v>-40</v>
      </c>
      <c r="L14" s="12">
        <f t="shared" si="7"/>
        <v>-757.872469</v>
      </c>
      <c r="M14" s="19">
        <f t="shared" si="8"/>
        <v>10.3448275862069</v>
      </c>
      <c r="N14" s="19">
        <f t="shared" si="9"/>
        <v>1.50692047883702</v>
      </c>
      <c r="O14" s="12">
        <f t="shared" si="10"/>
        <v>384</v>
      </c>
      <c r="P14" s="12">
        <f t="shared" si="11"/>
        <v>10739.118579</v>
      </c>
      <c r="Q14" s="12">
        <f t="shared" si="12"/>
        <v>36</v>
      </c>
      <c r="R14" s="12">
        <f t="shared" si="13"/>
        <v>159.427530999999</v>
      </c>
      <c r="S14" s="12">
        <f t="shared" si="14"/>
        <v>36</v>
      </c>
      <c r="T14" s="12">
        <f t="shared" si="15"/>
        <v>159.427530999999</v>
      </c>
      <c r="U14" s="19">
        <f t="shared" si="16"/>
        <v>10.3448275862069</v>
      </c>
      <c r="V14" s="19">
        <f t="shared" si="17"/>
        <v>1.50692047883702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378</v>
      </c>
      <c r="AJ14" s="47">
        <v>10727.438579</v>
      </c>
      <c r="AK14" s="47">
        <v>378</v>
      </c>
      <c r="AL14" s="47">
        <v>10727.438579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728</v>
      </c>
      <c r="D15" s="12">
        <v>18375.622872</v>
      </c>
      <c r="E15" s="12">
        <f t="shared" si="1"/>
        <v>2</v>
      </c>
      <c r="F15" s="12">
        <f t="shared" si="2"/>
        <v>-6.74912300000142</v>
      </c>
      <c r="G15" s="12">
        <f t="shared" si="3"/>
        <v>74</v>
      </c>
      <c r="H15" s="12">
        <f t="shared" si="4"/>
        <v>834.286125999999</v>
      </c>
      <c r="I15" s="12">
        <f t="shared" si="5"/>
        <v>74</v>
      </c>
      <c r="J15" s="12">
        <f t="shared" si="6"/>
        <v>834.286125999999</v>
      </c>
      <c r="K15" s="12">
        <f t="shared" si="18"/>
        <v>-36</v>
      </c>
      <c r="L15" s="12">
        <f t="shared" si="7"/>
        <v>-625.563874000001</v>
      </c>
      <c r="M15" s="19">
        <f t="shared" si="8"/>
        <v>11.3149847094801</v>
      </c>
      <c r="N15" s="19">
        <f t="shared" si="9"/>
        <v>4.75611487357281</v>
      </c>
      <c r="O15" s="12">
        <f t="shared" si="10"/>
        <v>728</v>
      </c>
      <c r="P15" s="12">
        <f t="shared" si="11"/>
        <v>18375.622872</v>
      </c>
      <c r="Q15" s="12">
        <f t="shared" si="12"/>
        <v>74</v>
      </c>
      <c r="R15" s="12">
        <f t="shared" si="13"/>
        <v>834.286125999999</v>
      </c>
      <c r="S15" s="12">
        <f t="shared" si="14"/>
        <v>74</v>
      </c>
      <c r="T15" s="12">
        <f t="shared" si="15"/>
        <v>834.286125999999</v>
      </c>
      <c r="U15" s="19">
        <f t="shared" si="16"/>
        <v>11.3149847094801</v>
      </c>
      <c r="V15" s="19">
        <f t="shared" si="17"/>
        <v>4.75611487357281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726</v>
      </c>
      <c r="AJ15" s="47">
        <v>18382.371995</v>
      </c>
      <c r="AK15" s="47">
        <v>726</v>
      </c>
      <c r="AL15" s="47">
        <v>18382.371995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717</v>
      </c>
      <c r="D16" s="12">
        <v>24434.407565</v>
      </c>
      <c r="E16" s="12">
        <f t="shared" si="1"/>
        <v>9</v>
      </c>
      <c r="F16" s="12">
        <f t="shared" si="2"/>
        <v>9.15893100000176</v>
      </c>
      <c r="G16" s="12">
        <f t="shared" si="3"/>
        <v>14</v>
      </c>
      <c r="H16" s="12">
        <f t="shared" si="4"/>
        <v>1533.680602</v>
      </c>
      <c r="I16" s="12">
        <f t="shared" si="5"/>
        <v>14</v>
      </c>
      <c r="J16" s="12">
        <f t="shared" si="6"/>
        <v>1533.680602</v>
      </c>
      <c r="K16" s="12">
        <f t="shared" si="18"/>
        <v>-49</v>
      </c>
      <c r="L16" s="12">
        <f t="shared" si="7"/>
        <v>745.720602000001</v>
      </c>
      <c r="M16" s="19">
        <f t="shared" si="8"/>
        <v>1.99146514935989</v>
      </c>
      <c r="N16" s="19">
        <f t="shared" si="9"/>
        <v>6.69708260562174</v>
      </c>
      <c r="O16" s="12">
        <f t="shared" si="10"/>
        <v>717</v>
      </c>
      <c r="P16" s="12">
        <f t="shared" si="11"/>
        <v>24434.407565</v>
      </c>
      <c r="Q16" s="12">
        <f t="shared" si="12"/>
        <v>14</v>
      </c>
      <c r="R16" s="12">
        <f t="shared" si="13"/>
        <v>1533.680602</v>
      </c>
      <c r="S16" s="12">
        <f t="shared" si="14"/>
        <v>14</v>
      </c>
      <c r="T16" s="12">
        <f t="shared" si="15"/>
        <v>1533.680602</v>
      </c>
      <c r="U16" s="19">
        <f t="shared" si="16"/>
        <v>1.99146514935989</v>
      </c>
      <c r="V16" s="19">
        <f t="shared" si="17"/>
        <v>6.69708260562174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708</v>
      </c>
      <c r="AJ16" s="47">
        <v>24425.248634</v>
      </c>
      <c r="AK16" s="47">
        <v>708</v>
      </c>
      <c r="AL16" s="47">
        <v>24425.248634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593</v>
      </c>
      <c r="D17" s="12">
        <v>18467.672779</v>
      </c>
      <c r="E17" s="12">
        <f t="shared" si="1"/>
        <v>5</v>
      </c>
      <c r="F17" s="12">
        <f t="shared" si="2"/>
        <v>28.7000000000007</v>
      </c>
      <c r="G17" s="12">
        <f t="shared" si="3"/>
        <v>-6</v>
      </c>
      <c r="H17" s="12">
        <f t="shared" si="4"/>
        <v>37.6519020000014</v>
      </c>
      <c r="I17" s="12">
        <f t="shared" si="5"/>
        <v>-6</v>
      </c>
      <c r="J17" s="12">
        <f t="shared" si="6"/>
        <v>37.6519020000014</v>
      </c>
      <c r="K17" s="12">
        <f t="shared" si="18"/>
        <v>-14</v>
      </c>
      <c r="L17" s="12">
        <f t="shared" si="7"/>
        <v>-692.058097999998</v>
      </c>
      <c r="M17" s="19">
        <f t="shared" si="8"/>
        <v>-1.0016694490818</v>
      </c>
      <c r="N17" s="19">
        <f t="shared" si="9"/>
        <v>0.204296578128078</v>
      </c>
      <c r="O17" s="12">
        <f t="shared" si="10"/>
        <v>596</v>
      </c>
      <c r="P17" s="12">
        <f t="shared" si="11"/>
        <v>18517.959879</v>
      </c>
      <c r="Q17" s="12">
        <f t="shared" si="12"/>
        <v>-3</v>
      </c>
      <c r="R17" s="12">
        <f t="shared" si="13"/>
        <v>87.9390020000028</v>
      </c>
      <c r="S17" s="30">
        <f t="shared" si="14"/>
        <v>-3</v>
      </c>
      <c r="T17" s="12">
        <f t="shared" si="15"/>
        <v>87.9390020000028</v>
      </c>
      <c r="U17" s="19">
        <f t="shared" si="16"/>
        <v>-0.500834724540901</v>
      </c>
      <c r="V17" s="19">
        <f t="shared" si="17"/>
        <v>0.477150853962122</v>
      </c>
      <c r="W17" s="12"/>
      <c r="X17" s="29"/>
      <c r="Y17" s="29"/>
      <c r="Z17" s="29"/>
      <c r="AA17" s="29">
        <v>3</v>
      </c>
      <c r="AB17" s="12">
        <v>50.2871</v>
      </c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588</v>
      </c>
      <c r="AJ17" s="47">
        <v>18438.972779</v>
      </c>
      <c r="AK17" s="47">
        <v>591</v>
      </c>
      <c r="AL17" s="47">
        <v>18489.259879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476</v>
      </c>
      <c r="D18" s="12">
        <v>21149.653917</v>
      </c>
      <c r="E18" s="12">
        <f t="shared" si="1"/>
        <v>1</v>
      </c>
      <c r="F18" s="12">
        <f t="shared" si="2"/>
        <v>44.5980170000003</v>
      </c>
      <c r="G18" s="12">
        <f t="shared" si="3"/>
        <v>-6</v>
      </c>
      <c r="H18" s="12">
        <f t="shared" si="4"/>
        <v>1592.190517</v>
      </c>
      <c r="I18" s="12">
        <f t="shared" si="5"/>
        <v>-6</v>
      </c>
      <c r="J18" s="12">
        <f t="shared" si="6"/>
        <v>1592.190517</v>
      </c>
      <c r="K18" s="12">
        <f t="shared" si="18"/>
        <v>-17</v>
      </c>
      <c r="L18" s="12">
        <f t="shared" si="7"/>
        <v>280.720516999999</v>
      </c>
      <c r="M18" s="19">
        <f t="shared" si="8"/>
        <v>-1.2448132780083</v>
      </c>
      <c r="N18" s="19">
        <f t="shared" si="9"/>
        <v>8.14108907906738</v>
      </c>
      <c r="O18" s="12">
        <f t="shared" si="10"/>
        <v>476</v>
      </c>
      <c r="P18" s="12">
        <f t="shared" si="11"/>
        <v>21149.653917</v>
      </c>
      <c r="Q18" s="12">
        <f t="shared" si="12"/>
        <v>-6</v>
      </c>
      <c r="R18" s="12">
        <f t="shared" si="13"/>
        <v>1592.190517</v>
      </c>
      <c r="S18" s="12">
        <f t="shared" si="14"/>
        <v>-6</v>
      </c>
      <c r="T18" s="12">
        <f t="shared" si="15"/>
        <v>1592.190517</v>
      </c>
      <c r="U18" s="19">
        <f t="shared" si="16"/>
        <v>-1.2448132780083</v>
      </c>
      <c r="V18" s="19">
        <f t="shared" si="17"/>
        <v>8.14108907906738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475</v>
      </c>
      <c r="AJ18" s="47">
        <v>21105.0559</v>
      </c>
      <c r="AK18" s="47">
        <v>475</v>
      </c>
      <c r="AL18" s="47">
        <v>21105.0559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448</v>
      </c>
      <c r="D19" s="12">
        <v>15504.812182</v>
      </c>
      <c r="E19" s="12">
        <f t="shared" si="1"/>
        <v>4</v>
      </c>
      <c r="F19" s="12">
        <f t="shared" si="2"/>
        <v>4.39999999999964</v>
      </c>
      <c r="G19" s="12">
        <f t="shared" si="3"/>
        <v>16</v>
      </c>
      <c r="H19" s="12">
        <f t="shared" si="4"/>
        <v>874.46581</v>
      </c>
      <c r="I19" s="12">
        <f t="shared" si="5"/>
        <v>16</v>
      </c>
      <c r="J19" s="12">
        <f t="shared" si="6"/>
        <v>874.46581</v>
      </c>
      <c r="K19" s="12">
        <f t="shared" si="18"/>
        <v>-16</v>
      </c>
      <c r="L19" s="12">
        <f t="shared" si="7"/>
        <v>71.4858099999997</v>
      </c>
      <c r="M19" s="19">
        <f t="shared" si="8"/>
        <v>3.7037037037037</v>
      </c>
      <c r="N19" s="19">
        <f t="shared" si="9"/>
        <v>5.97706840128938</v>
      </c>
      <c r="O19" s="12">
        <f t="shared" si="10"/>
        <v>450</v>
      </c>
      <c r="P19" s="12">
        <f t="shared" si="11"/>
        <v>15521.110282</v>
      </c>
      <c r="Q19" s="12">
        <f t="shared" si="12"/>
        <v>18</v>
      </c>
      <c r="R19" s="12">
        <f t="shared" si="13"/>
        <v>890.76391</v>
      </c>
      <c r="S19" s="12">
        <f t="shared" si="14"/>
        <v>18</v>
      </c>
      <c r="T19" s="12">
        <f t="shared" si="15"/>
        <v>890.76391</v>
      </c>
      <c r="U19" s="19">
        <f t="shared" si="16"/>
        <v>4.16666666666667</v>
      </c>
      <c r="V19" s="19">
        <f t="shared" si="17"/>
        <v>6.08846767773571</v>
      </c>
      <c r="W19" s="12"/>
      <c r="X19" s="29"/>
      <c r="Y19" s="29"/>
      <c r="Z19" s="29"/>
      <c r="AA19" s="29">
        <v>2</v>
      </c>
      <c r="AB19" s="12">
        <v>16.2981</v>
      </c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444</v>
      </c>
      <c r="AJ19" s="47">
        <v>15500.412182</v>
      </c>
      <c r="AK19" s="47">
        <v>446</v>
      </c>
      <c r="AL19" s="47">
        <v>15516.710282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656</v>
      </c>
      <c r="D20" s="12">
        <v>19463.390562</v>
      </c>
      <c r="E20" s="12">
        <f t="shared" si="1"/>
        <v>9</v>
      </c>
      <c r="F20" s="12">
        <f t="shared" si="2"/>
        <v>-38.0015099999982</v>
      </c>
      <c r="G20" s="12">
        <f t="shared" si="3"/>
        <v>45</v>
      </c>
      <c r="H20" s="12">
        <f t="shared" si="4"/>
        <v>1444.672958</v>
      </c>
      <c r="I20" s="12">
        <f t="shared" si="5"/>
        <v>45</v>
      </c>
      <c r="J20" s="12">
        <f t="shared" si="6"/>
        <v>1444.672958</v>
      </c>
      <c r="K20" s="12">
        <f t="shared" si="18"/>
        <v>-36</v>
      </c>
      <c r="L20" s="12">
        <f t="shared" si="7"/>
        <v>-771.977042000001</v>
      </c>
      <c r="M20" s="19">
        <f t="shared" si="8"/>
        <v>7.36497545008183</v>
      </c>
      <c r="N20" s="19">
        <f t="shared" si="9"/>
        <v>8.01762361645145</v>
      </c>
      <c r="O20" s="12">
        <f t="shared" si="10"/>
        <v>657</v>
      </c>
      <c r="P20" s="12">
        <f t="shared" si="11"/>
        <v>19492.890562</v>
      </c>
      <c r="Q20" s="12">
        <f t="shared" si="12"/>
        <v>46</v>
      </c>
      <c r="R20" s="12">
        <f t="shared" si="13"/>
        <v>1474.172958</v>
      </c>
      <c r="S20" s="12">
        <f t="shared" si="14"/>
        <v>46</v>
      </c>
      <c r="T20" s="12">
        <f t="shared" si="15"/>
        <v>1474.172958</v>
      </c>
      <c r="U20" s="19">
        <f t="shared" si="16"/>
        <v>7.52864157119476</v>
      </c>
      <c r="V20" s="19">
        <f t="shared" si="17"/>
        <v>8.18134225974409</v>
      </c>
      <c r="W20" s="12"/>
      <c r="X20" s="29"/>
      <c r="Y20" s="29"/>
      <c r="Z20" s="29"/>
      <c r="AA20" s="29">
        <v>1</v>
      </c>
      <c r="AB20" s="12">
        <v>29.5</v>
      </c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647</v>
      </c>
      <c r="AJ20" s="47">
        <v>19501.392072</v>
      </c>
      <c r="AK20" s="47">
        <v>648</v>
      </c>
      <c r="AL20" s="47">
        <v>19530.892072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465</v>
      </c>
      <c r="D21" s="12">
        <v>15118.331014</v>
      </c>
      <c r="E21" s="12">
        <f t="shared" si="1"/>
        <v>5</v>
      </c>
      <c r="F21" s="12">
        <f t="shared" si="2"/>
        <v>31.9722000000002</v>
      </c>
      <c r="G21" s="12">
        <f t="shared" si="3"/>
        <v>27</v>
      </c>
      <c r="H21" s="12">
        <f t="shared" si="4"/>
        <v>-306.133259</v>
      </c>
      <c r="I21" s="12">
        <f t="shared" si="5"/>
        <v>27</v>
      </c>
      <c r="J21" s="12">
        <f t="shared" si="6"/>
        <v>-306.133259</v>
      </c>
      <c r="K21" s="12">
        <f t="shared" si="18"/>
        <v>-30</v>
      </c>
      <c r="L21" s="12">
        <f t="shared" si="7"/>
        <v>-1316.033259</v>
      </c>
      <c r="M21" s="19">
        <f t="shared" si="8"/>
        <v>6.16438356164384</v>
      </c>
      <c r="N21" s="19">
        <f t="shared" si="9"/>
        <v>-1.98472539195981</v>
      </c>
      <c r="O21" s="12">
        <f t="shared" si="10"/>
        <v>465</v>
      </c>
      <c r="P21" s="12">
        <f t="shared" si="11"/>
        <v>15118.331014</v>
      </c>
      <c r="Q21" s="12">
        <f t="shared" si="12"/>
        <v>27</v>
      </c>
      <c r="R21" s="12">
        <f t="shared" si="13"/>
        <v>-306.133259</v>
      </c>
      <c r="S21" s="30">
        <f t="shared" si="14"/>
        <v>27</v>
      </c>
      <c r="T21" s="12">
        <f t="shared" si="15"/>
        <v>-306.133259</v>
      </c>
      <c r="U21" s="19">
        <f t="shared" si="16"/>
        <v>6.16438356164384</v>
      </c>
      <c r="V21" s="19">
        <f t="shared" si="17"/>
        <v>-1.98472539195981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460</v>
      </c>
      <c r="AJ21" s="47">
        <v>15086.358814</v>
      </c>
      <c r="AK21" s="47">
        <v>460</v>
      </c>
      <c r="AL21" s="47">
        <v>15086.358814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732</v>
      </c>
      <c r="D22" s="12">
        <v>26348.228281</v>
      </c>
      <c r="E22" s="12">
        <f t="shared" si="1"/>
        <v>1</v>
      </c>
      <c r="F22" s="12">
        <f t="shared" si="2"/>
        <v>35.0999999999985</v>
      </c>
      <c r="G22" s="12">
        <f t="shared" si="3"/>
        <v>58</v>
      </c>
      <c r="H22" s="12">
        <f t="shared" si="4"/>
        <v>3003.659313</v>
      </c>
      <c r="I22" s="12">
        <f t="shared" si="5"/>
        <v>58</v>
      </c>
      <c r="J22" s="12">
        <f t="shared" si="6"/>
        <v>3003.659313</v>
      </c>
      <c r="K22" s="12">
        <f t="shared" si="18"/>
        <v>-4</v>
      </c>
      <c r="L22" s="12">
        <f t="shared" si="7"/>
        <v>1724.739313</v>
      </c>
      <c r="M22" s="19">
        <f t="shared" si="8"/>
        <v>8.6053412462908</v>
      </c>
      <c r="N22" s="19">
        <f t="shared" si="9"/>
        <v>12.866629994828</v>
      </c>
      <c r="O22" s="12">
        <f t="shared" si="10"/>
        <v>733</v>
      </c>
      <c r="P22" s="12">
        <f t="shared" si="11"/>
        <v>26443.228281</v>
      </c>
      <c r="Q22" s="12">
        <f t="shared" si="12"/>
        <v>59</v>
      </c>
      <c r="R22" s="12">
        <f t="shared" si="13"/>
        <v>3098.659313</v>
      </c>
      <c r="S22" s="12">
        <f t="shared" si="14"/>
        <v>59</v>
      </c>
      <c r="T22" s="12">
        <f t="shared" si="15"/>
        <v>3098.659313</v>
      </c>
      <c r="U22" s="19">
        <f t="shared" si="16"/>
        <v>8.75370919881306</v>
      </c>
      <c r="V22" s="19">
        <f t="shared" si="17"/>
        <v>13.273576895969</v>
      </c>
      <c r="W22" s="12"/>
      <c r="X22" s="29"/>
      <c r="Y22" s="29"/>
      <c r="Z22" s="29"/>
      <c r="AA22" s="29">
        <v>1</v>
      </c>
      <c r="AB22" s="12">
        <v>95</v>
      </c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731</v>
      </c>
      <c r="AJ22" s="47">
        <v>26313.128281</v>
      </c>
      <c r="AK22" s="47">
        <v>732</v>
      </c>
      <c r="AL22" s="47">
        <v>26408.128281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761</v>
      </c>
      <c r="D23" s="12">
        <v>26577.443611</v>
      </c>
      <c r="E23" s="12">
        <f t="shared" si="1"/>
        <v>11</v>
      </c>
      <c r="F23" s="12">
        <f t="shared" si="2"/>
        <v>454.459999999999</v>
      </c>
      <c r="G23" s="12">
        <f t="shared" si="3"/>
        <v>61</v>
      </c>
      <c r="H23" s="12">
        <f t="shared" si="4"/>
        <v>557.255024999999</v>
      </c>
      <c r="I23" s="12">
        <f t="shared" si="5"/>
        <v>61</v>
      </c>
      <c r="J23" s="12">
        <f t="shared" si="6"/>
        <v>557.255024999999</v>
      </c>
      <c r="K23" s="12">
        <f t="shared" si="18"/>
        <v>19</v>
      </c>
      <c r="L23" s="12">
        <f t="shared" si="7"/>
        <v>28.8450249999986</v>
      </c>
      <c r="M23" s="19">
        <f t="shared" si="8"/>
        <v>8.71428571428572</v>
      </c>
      <c r="N23" s="19">
        <f t="shared" si="9"/>
        <v>2.14162561950003</v>
      </c>
      <c r="O23" s="12">
        <f t="shared" si="10"/>
        <v>761</v>
      </c>
      <c r="P23" s="12">
        <f t="shared" si="11"/>
        <v>26577.443611</v>
      </c>
      <c r="Q23" s="12">
        <f t="shared" si="12"/>
        <v>61</v>
      </c>
      <c r="R23" s="12">
        <f t="shared" si="13"/>
        <v>557.255024999999</v>
      </c>
      <c r="S23" s="12">
        <f t="shared" si="14"/>
        <v>61</v>
      </c>
      <c r="T23" s="12">
        <f t="shared" si="15"/>
        <v>557.255024999999</v>
      </c>
      <c r="U23" s="19">
        <f t="shared" si="16"/>
        <v>8.71428571428572</v>
      </c>
      <c r="V23" s="19">
        <f t="shared" si="17"/>
        <v>2.14162561950003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750</v>
      </c>
      <c r="AJ23" s="47">
        <v>26122.983611</v>
      </c>
      <c r="AK23" s="47">
        <v>750</v>
      </c>
      <c r="AL23" s="47">
        <v>26122.983611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485</v>
      </c>
      <c r="D24" s="12">
        <v>15632.454725</v>
      </c>
      <c r="E24" s="12">
        <f t="shared" si="1"/>
        <v>1</v>
      </c>
      <c r="F24" s="12">
        <f t="shared" si="2"/>
        <v>-13.1000000000004</v>
      </c>
      <c r="G24" s="12">
        <f t="shared" si="3"/>
        <v>14</v>
      </c>
      <c r="H24" s="12">
        <f t="shared" si="4"/>
        <v>1044.054725</v>
      </c>
      <c r="I24" s="12">
        <f t="shared" si="5"/>
        <v>14</v>
      </c>
      <c r="J24" s="12">
        <f t="shared" si="6"/>
        <v>1044.054725</v>
      </c>
      <c r="K24" s="12">
        <f t="shared" si="18"/>
        <v>-37</v>
      </c>
      <c r="L24" s="12">
        <f t="shared" si="7"/>
        <v>226.064725</v>
      </c>
      <c r="M24" s="19">
        <f t="shared" si="8"/>
        <v>2.9723991507431</v>
      </c>
      <c r="N24" s="19">
        <f t="shared" si="9"/>
        <v>7.1567459419813</v>
      </c>
      <c r="O24" s="12">
        <f t="shared" si="10"/>
        <v>485</v>
      </c>
      <c r="P24" s="12">
        <f t="shared" si="11"/>
        <v>15632.454725</v>
      </c>
      <c r="Q24" s="12">
        <f t="shared" si="12"/>
        <v>14</v>
      </c>
      <c r="R24" s="12">
        <f t="shared" si="13"/>
        <v>1044.054725</v>
      </c>
      <c r="S24" s="30">
        <f t="shared" si="14"/>
        <v>14</v>
      </c>
      <c r="T24" s="12">
        <f t="shared" si="15"/>
        <v>1044.054725</v>
      </c>
      <c r="U24" s="19">
        <f t="shared" si="16"/>
        <v>2.9723991507431</v>
      </c>
      <c r="V24" s="19">
        <f t="shared" si="17"/>
        <v>7.1567459419813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484</v>
      </c>
      <c r="AJ24" s="47">
        <v>15645.554725</v>
      </c>
      <c r="AK24" s="47">
        <v>484</v>
      </c>
      <c r="AL24" s="47">
        <v>15645.554725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501</v>
      </c>
      <c r="D25" s="12">
        <v>16201.936978</v>
      </c>
      <c r="E25" s="12">
        <f t="shared" si="1"/>
        <v>-1</v>
      </c>
      <c r="F25" s="12">
        <f t="shared" si="2"/>
        <v>110.397081999999</v>
      </c>
      <c r="G25" s="12">
        <f t="shared" si="3"/>
        <v>19</v>
      </c>
      <c r="H25" s="12">
        <f t="shared" si="4"/>
        <v>75.0599619999994</v>
      </c>
      <c r="I25" s="12">
        <f t="shared" si="5"/>
        <v>19</v>
      </c>
      <c r="J25" s="12">
        <f t="shared" si="6"/>
        <v>75.0599619999994</v>
      </c>
      <c r="K25" s="12">
        <f t="shared" si="18"/>
        <v>-6</v>
      </c>
      <c r="L25" s="12">
        <f t="shared" si="7"/>
        <v>-806.120038000001</v>
      </c>
      <c r="M25" s="19">
        <f t="shared" si="8"/>
        <v>3.94190871369295</v>
      </c>
      <c r="N25" s="19">
        <f t="shared" si="9"/>
        <v>0.465433958016359</v>
      </c>
      <c r="O25" s="12">
        <f t="shared" si="10"/>
        <v>502</v>
      </c>
      <c r="P25" s="12">
        <f t="shared" si="11"/>
        <v>16206.936978</v>
      </c>
      <c r="Q25" s="12">
        <f t="shared" si="12"/>
        <v>20</v>
      </c>
      <c r="R25" s="12">
        <f t="shared" si="13"/>
        <v>80.0599619999994</v>
      </c>
      <c r="S25" s="12">
        <f t="shared" si="14"/>
        <v>20</v>
      </c>
      <c r="T25" s="12">
        <f t="shared" si="15"/>
        <v>80.0599619999994</v>
      </c>
      <c r="U25" s="19">
        <f t="shared" si="16"/>
        <v>4.149377593361</v>
      </c>
      <c r="V25" s="19">
        <f t="shared" si="17"/>
        <v>0.496438100945206</v>
      </c>
      <c r="W25" s="12"/>
      <c r="X25" s="29"/>
      <c r="Y25" s="29"/>
      <c r="Z25" s="29"/>
      <c r="AA25" s="29">
        <v>1</v>
      </c>
      <c r="AB25" s="12">
        <v>5</v>
      </c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502</v>
      </c>
      <c r="AJ25" s="47">
        <v>16091.539896</v>
      </c>
      <c r="AK25" s="47">
        <v>503</v>
      </c>
      <c r="AL25" s="47">
        <v>16096.539896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266</v>
      </c>
      <c r="D26" s="12">
        <v>10585.675358</v>
      </c>
      <c r="E26" s="12">
        <f t="shared" si="1"/>
        <v>0</v>
      </c>
      <c r="F26" s="12">
        <f t="shared" si="2"/>
        <v>7.72459200000048</v>
      </c>
      <c r="G26" s="12">
        <f t="shared" si="3"/>
        <v>-11</v>
      </c>
      <c r="H26" s="12">
        <f t="shared" si="4"/>
        <v>-236.750196999999</v>
      </c>
      <c r="I26" s="12">
        <f t="shared" si="5"/>
        <v>-11</v>
      </c>
      <c r="J26" s="12">
        <f t="shared" si="6"/>
        <v>-236.750196999999</v>
      </c>
      <c r="K26" s="12">
        <f t="shared" si="18"/>
        <v>-31</v>
      </c>
      <c r="L26" s="12">
        <f t="shared" si="7"/>
        <v>-940.760196999999</v>
      </c>
      <c r="M26" s="19">
        <f t="shared" si="8"/>
        <v>-3.97111913357401</v>
      </c>
      <c r="N26" s="19">
        <f t="shared" si="9"/>
        <v>-2.18758905567726</v>
      </c>
      <c r="O26" s="12">
        <f t="shared" si="10"/>
        <v>266</v>
      </c>
      <c r="P26" s="12">
        <f t="shared" si="11"/>
        <v>10585.675358</v>
      </c>
      <c r="Q26" s="12">
        <f t="shared" si="12"/>
        <v>-11</v>
      </c>
      <c r="R26" s="12">
        <f t="shared" si="13"/>
        <v>-236.750196999999</v>
      </c>
      <c r="S26" s="12">
        <f t="shared" si="14"/>
        <v>-11</v>
      </c>
      <c r="T26" s="12">
        <f t="shared" si="15"/>
        <v>-236.750196999999</v>
      </c>
      <c r="U26" s="19">
        <f t="shared" si="16"/>
        <v>-3.97111913357401</v>
      </c>
      <c r="V26" s="19">
        <f t="shared" si="17"/>
        <v>-2.18758905567726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266</v>
      </c>
      <c r="AJ26" s="47">
        <v>10577.950766</v>
      </c>
      <c r="AK26" s="47">
        <v>266</v>
      </c>
      <c r="AL26" s="47">
        <v>10577.950766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337</v>
      </c>
      <c r="D27" s="12">
        <v>11047.808723</v>
      </c>
      <c r="E27" s="12">
        <f t="shared" si="1"/>
        <v>-1</v>
      </c>
      <c r="F27" s="12">
        <f t="shared" si="2"/>
        <v>-10.398842999999</v>
      </c>
      <c r="G27" s="12">
        <f t="shared" si="3"/>
        <v>9</v>
      </c>
      <c r="H27" s="12">
        <f t="shared" si="4"/>
        <v>-370.656236999999</v>
      </c>
      <c r="I27" s="12">
        <f t="shared" si="5"/>
        <v>9</v>
      </c>
      <c r="J27" s="12">
        <f t="shared" si="6"/>
        <v>-370.656236999999</v>
      </c>
      <c r="K27" s="12">
        <f t="shared" si="18"/>
        <v>-23</v>
      </c>
      <c r="L27" s="12">
        <f t="shared" si="7"/>
        <v>-994.926236999999</v>
      </c>
      <c r="M27" s="19">
        <f t="shared" si="8"/>
        <v>2.74390243902439</v>
      </c>
      <c r="N27" s="19">
        <f t="shared" si="9"/>
        <v>-3.24611266311579</v>
      </c>
      <c r="O27" s="12">
        <f t="shared" si="10"/>
        <v>338</v>
      </c>
      <c r="P27" s="12">
        <f t="shared" si="11"/>
        <v>11051.766923</v>
      </c>
      <c r="Q27" s="12">
        <f t="shared" si="12"/>
        <v>10</v>
      </c>
      <c r="R27" s="12">
        <f t="shared" si="13"/>
        <v>-366.698037</v>
      </c>
      <c r="S27" s="12">
        <f t="shared" si="14"/>
        <v>10</v>
      </c>
      <c r="T27" s="12">
        <f t="shared" si="15"/>
        <v>-366.698037</v>
      </c>
      <c r="U27" s="19">
        <f t="shared" si="16"/>
        <v>3.04878048780488</v>
      </c>
      <c r="V27" s="19">
        <f t="shared" si="17"/>
        <v>-3.21144775838591</v>
      </c>
      <c r="W27" s="12"/>
      <c r="X27" s="29"/>
      <c r="Y27" s="29"/>
      <c r="Z27" s="29"/>
      <c r="AA27" s="29">
        <v>1</v>
      </c>
      <c r="AB27" s="12">
        <v>3.9582</v>
      </c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338</v>
      </c>
      <c r="AJ27" s="47">
        <v>11058.207566</v>
      </c>
      <c r="AK27" s="47">
        <v>339</v>
      </c>
      <c r="AL27" s="47">
        <v>11062.165766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382</v>
      </c>
      <c r="D28" s="12">
        <v>20170.73238</v>
      </c>
      <c r="E28" s="12">
        <f t="shared" si="1"/>
        <v>3</v>
      </c>
      <c r="F28" s="12">
        <f t="shared" si="2"/>
        <v>12.9589560000022</v>
      </c>
      <c r="G28" s="12">
        <f t="shared" si="3"/>
        <v>20</v>
      </c>
      <c r="H28" s="12">
        <f t="shared" si="4"/>
        <v>118.921340000001</v>
      </c>
      <c r="I28" s="12">
        <f t="shared" si="5"/>
        <v>20</v>
      </c>
      <c r="J28" s="12">
        <f t="shared" si="6"/>
        <v>118.921340000001</v>
      </c>
      <c r="K28" s="12">
        <f t="shared" si="18"/>
        <v>-20</v>
      </c>
      <c r="L28" s="12">
        <f t="shared" si="7"/>
        <v>-761.808659999999</v>
      </c>
      <c r="M28" s="19">
        <f t="shared" si="8"/>
        <v>5.52486187845304</v>
      </c>
      <c r="N28" s="19">
        <f t="shared" si="9"/>
        <v>0.593070320495105</v>
      </c>
      <c r="O28" s="12">
        <f t="shared" si="10"/>
        <v>382</v>
      </c>
      <c r="P28" s="12">
        <f t="shared" si="11"/>
        <v>20170.73238</v>
      </c>
      <c r="Q28" s="12">
        <f t="shared" si="12"/>
        <v>20</v>
      </c>
      <c r="R28" s="12">
        <f t="shared" si="13"/>
        <v>118.921340000001</v>
      </c>
      <c r="S28" s="12">
        <f t="shared" si="14"/>
        <v>20</v>
      </c>
      <c r="T28" s="12">
        <f t="shared" si="15"/>
        <v>118.921340000001</v>
      </c>
      <c r="U28" s="19">
        <f t="shared" si="16"/>
        <v>5.52486187845304</v>
      </c>
      <c r="V28" s="19">
        <f t="shared" si="17"/>
        <v>0.593070320495105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379</v>
      </c>
      <c r="AJ28" s="47">
        <v>20157.773424</v>
      </c>
      <c r="AK28" s="47">
        <v>379</v>
      </c>
      <c r="AL28" s="47">
        <v>20157.773424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328</v>
      </c>
      <c r="D29" s="12">
        <v>11726.840975</v>
      </c>
      <c r="E29" s="12">
        <f t="shared" si="1"/>
        <v>-1</v>
      </c>
      <c r="F29" s="12">
        <f t="shared" si="2"/>
        <v>-38.9112980000009</v>
      </c>
      <c r="G29" s="12">
        <f t="shared" si="3"/>
        <v>0</v>
      </c>
      <c r="H29" s="12">
        <f t="shared" si="4"/>
        <v>-267.821633000001</v>
      </c>
      <c r="I29" s="12">
        <f t="shared" si="5"/>
        <v>0</v>
      </c>
      <c r="J29" s="12">
        <f t="shared" si="6"/>
        <v>-267.821633000001</v>
      </c>
      <c r="K29" s="12">
        <f t="shared" si="18"/>
        <v>-35</v>
      </c>
      <c r="L29" s="12">
        <f t="shared" si="7"/>
        <v>-815.531633000002</v>
      </c>
      <c r="M29" s="19">
        <f t="shared" si="8"/>
        <v>0</v>
      </c>
      <c r="N29" s="19">
        <f t="shared" si="9"/>
        <v>-2.23284007022735</v>
      </c>
      <c r="O29" s="12">
        <f t="shared" si="10"/>
        <v>329</v>
      </c>
      <c r="P29" s="12">
        <f t="shared" si="11"/>
        <v>12226.840975</v>
      </c>
      <c r="Q29" s="12">
        <f t="shared" si="12"/>
        <v>1</v>
      </c>
      <c r="R29" s="12">
        <f t="shared" si="13"/>
        <v>232.178366999999</v>
      </c>
      <c r="S29" s="12">
        <f t="shared" si="14"/>
        <v>1</v>
      </c>
      <c r="T29" s="12">
        <f t="shared" si="15"/>
        <v>232.178366999999</v>
      </c>
      <c r="U29" s="19">
        <f t="shared" si="16"/>
        <v>0.304878048780488</v>
      </c>
      <c r="V29" s="19">
        <f t="shared" si="17"/>
        <v>1.93568068221564</v>
      </c>
      <c r="W29" s="12">
        <v>1</v>
      </c>
      <c r="X29" s="29">
        <v>500</v>
      </c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329</v>
      </c>
      <c r="AJ29" s="47">
        <v>11765.752273</v>
      </c>
      <c r="AK29" s="47">
        <v>330</v>
      </c>
      <c r="AL29" s="47">
        <v>12265.752273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359</v>
      </c>
      <c r="D30" s="12">
        <v>9744.187584</v>
      </c>
      <c r="E30" s="12">
        <f t="shared" si="1"/>
        <v>0</v>
      </c>
      <c r="F30" s="12">
        <f t="shared" si="2"/>
        <v>19.5607309999887</v>
      </c>
      <c r="G30" s="12">
        <f t="shared" si="3"/>
        <v>36</v>
      </c>
      <c r="H30" s="12">
        <f t="shared" si="4"/>
        <v>624.949434</v>
      </c>
      <c r="I30" s="12">
        <f t="shared" si="5"/>
        <v>36</v>
      </c>
      <c r="J30" s="12">
        <f t="shared" si="6"/>
        <v>624.949434</v>
      </c>
      <c r="K30" s="12">
        <f t="shared" si="18"/>
        <v>-59</v>
      </c>
      <c r="L30" s="12">
        <f t="shared" si="7"/>
        <v>-395.190566</v>
      </c>
      <c r="M30" s="19">
        <f t="shared" si="8"/>
        <v>11.1455108359133</v>
      </c>
      <c r="N30" s="19">
        <f t="shared" si="9"/>
        <v>6.85308820452288</v>
      </c>
      <c r="O30" s="12">
        <f t="shared" si="10"/>
        <v>361</v>
      </c>
      <c r="P30" s="12">
        <f t="shared" si="11"/>
        <v>9778.787584</v>
      </c>
      <c r="Q30" s="12">
        <f t="shared" si="12"/>
        <v>38</v>
      </c>
      <c r="R30" s="12">
        <f t="shared" si="13"/>
        <v>659.549434</v>
      </c>
      <c r="S30" s="12">
        <f t="shared" si="14"/>
        <v>38</v>
      </c>
      <c r="T30" s="12">
        <f t="shared" si="15"/>
        <v>659.549434</v>
      </c>
      <c r="U30" s="19">
        <f t="shared" si="16"/>
        <v>11.7647058823529</v>
      </c>
      <c r="V30" s="19">
        <f t="shared" si="17"/>
        <v>7.2325058645387</v>
      </c>
      <c r="W30" s="12"/>
      <c r="X30" s="29"/>
      <c r="Y30" s="29"/>
      <c r="Z30" s="29"/>
      <c r="AA30" s="29">
        <v>2</v>
      </c>
      <c r="AB30" s="12">
        <v>34.6</v>
      </c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359</v>
      </c>
      <c r="AJ30" s="47">
        <v>9724.62685300001</v>
      </c>
      <c r="AK30" s="47">
        <v>361</v>
      </c>
      <c r="AL30" s="47">
        <v>9759.22685300001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365</v>
      </c>
      <c r="D31" s="12">
        <v>10207.054994</v>
      </c>
      <c r="E31" s="12">
        <f t="shared" si="1"/>
        <v>1</v>
      </c>
      <c r="F31" s="12">
        <f t="shared" si="2"/>
        <v>54</v>
      </c>
      <c r="G31" s="12">
        <f t="shared" si="3"/>
        <v>0</v>
      </c>
      <c r="H31" s="12">
        <f t="shared" si="4"/>
        <v>-874.454741</v>
      </c>
      <c r="I31" s="12">
        <f t="shared" si="5"/>
        <v>0</v>
      </c>
      <c r="J31" s="12">
        <f t="shared" si="6"/>
        <v>-874.454741</v>
      </c>
      <c r="K31" s="12">
        <f t="shared" si="18"/>
        <v>-48</v>
      </c>
      <c r="L31" s="12">
        <f t="shared" si="7"/>
        <v>-1384.424741</v>
      </c>
      <c r="M31" s="19">
        <f t="shared" si="8"/>
        <v>0</v>
      </c>
      <c r="N31" s="19">
        <f t="shared" si="9"/>
        <v>-7.89111557821503</v>
      </c>
      <c r="O31" s="12">
        <f t="shared" si="10"/>
        <v>367</v>
      </c>
      <c r="P31" s="12">
        <f t="shared" si="11"/>
        <v>10224.827694</v>
      </c>
      <c r="Q31" s="12">
        <f t="shared" si="12"/>
        <v>2</v>
      </c>
      <c r="R31" s="12">
        <f t="shared" si="13"/>
        <v>-856.682041</v>
      </c>
      <c r="S31" s="12">
        <f t="shared" si="14"/>
        <v>2</v>
      </c>
      <c r="T31" s="12">
        <f t="shared" si="15"/>
        <v>-856.682041</v>
      </c>
      <c r="U31" s="19">
        <f t="shared" si="16"/>
        <v>0.547945205479452</v>
      </c>
      <c r="V31" s="19">
        <f t="shared" si="17"/>
        <v>-7.73073400183229</v>
      </c>
      <c r="W31" s="12"/>
      <c r="X31" s="29"/>
      <c r="Y31" s="29"/>
      <c r="Z31" s="29"/>
      <c r="AA31" s="29">
        <v>2</v>
      </c>
      <c r="AB31" s="12">
        <v>17.7727</v>
      </c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364</v>
      </c>
      <c r="AJ31" s="47">
        <v>10153.054994</v>
      </c>
      <c r="AK31" s="47">
        <v>366</v>
      </c>
      <c r="AL31" s="47">
        <v>10170.827694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521</v>
      </c>
      <c r="D32" s="12">
        <v>13136.331181</v>
      </c>
      <c r="E32" s="12">
        <f t="shared" si="1"/>
        <v>0</v>
      </c>
      <c r="F32" s="12">
        <f t="shared" si="2"/>
        <v>7.82140900000013</v>
      </c>
      <c r="G32" s="12">
        <f t="shared" si="3"/>
        <v>21</v>
      </c>
      <c r="H32" s="12">
        <f t="shared" si="4"/>
        <v>685.665679</v>
      </c>
      <c r="I32" s="12">
        <f t="shared" si="5"/>
        <v>21</v>
      </c>
      <c r="J32" s="12">
        <f t="shared" si="6"/>
        <v>685.665679</v>
      </c>
      <c r="K32" s="12">
        <f t="shared" si="18"/>
        <v>-39</v>
      </c>
      <c r="L32" s="12">
        <f t="shared" si="7"/>
        <v>333.775679000001</v>
      </c>
      <c r="M32" s="19">
        <f t="shared" si="8"/>
        <v>4.2</v>
      </c>
      <c r="N32" s="19">
        <f t="shared" si="9"/>
        <v>5.50706047712758</v>
      </c>
      <c r="O32" s="12">
        <f t="shared" si="10"/>
        <v>521</v>
      </c>
      <c r="P32" s="12">
        <f t="shared" si="11"/>
        <v>13136.331181</v>
      </c>
      <c r="Q32" s="12">
        <f t="shared" si="12"/>
        <v>21</v>
      </c>
      <c r="R32" s="12">
        <f t="shared" si="13"/>
        <v>685.665679</v>
      </c>
      <c r="S32" s="30">
        <f t="shared" si="14"/>
        <v>21</v>
      </c>
      <c r="T32" s="12">
        <f t="shared" si="15"/>
        <v>685.665679</v>
      </c>
      <c r="U32" s="19">
        <f t="shared" si="16"/>
        <v>4.2</v>
      </c>
      <c r="V32" s="19">
        <f t="shared" si="17"/>
        <v>5.50706047712758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521</v>
      </c>
      <c r="AJ32" s="47">
        <v>13128.509772</v>
      </c>
      <c r="AK32" s="47">
        <v>521</v>
      </c>
      <c r="AL32" s="47">
        <v>13128.509772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2122</v>
      </c>
      <c r="D33" s="12">
        <v>97669.922984</v>
      </c>
      <c r="E33" s="12">
        <f t="shared" si="1"/>
        <v>-3</v>
      </c>
      <c r="F33" s="12">
        <f t="shared" si="2"/>
        <v>126.085233999998</v>
      </c>
      <c r="G33" s="12">
        <f t="shared" si="3"/>
        <v>-18</v>
      </c>
      <c r="H33" s="12">
        <f t="shared" si="4"/>
        <v>-1056.9068599999</v>
      </c>
      <c r="I33" s="12">
        <f t="shared" si="5"/>
        <v>-18</v>
      </c>
      <c r="J33" s="12">
        <f t="shared" si="6"/>
        <v>-1056.9068599999</v>
      </c>
      <c r="K33" s="12">
        <f t="shared" si="18"/>
        <v>-49</v>
      </c>
      <c r="L33" s="12">
        <f t="shared" si="7"/>
        <v>284.013140000099</v>
      </c>
      <c r="M33" s="19">
        <f t="shared" si="8"/>
        <v>-0.841121495327103</v>
      </c>
      <c r="N33" s="19">
        <f t="shared" si="9"/>
        <v>-1.07053661266136</v>
      </c>
      <c r="O33" s="12">
        <f t="shared" si="10"/>
        <v>2127</v>
      </c>
      <c r="P33" s="12">
        <f t="shared" si="11"/>
        <v>97800.224384</v>
      </c>
      <c r="Q33" s="12">
        <f t="shared" si="12"/>
        <v>-13</v>
      </c>
      <c r="R33" s="12">
        <f t="shared" si="13"/>
        <v>-926.605459999904</v>
      </c>
      <c r="S33" s="30">
        <f t="shared" si="14"/>
        <v>-13</v>
      </c>
      <c r="T33" s="12">
        <f t="shared" si="15"/>
        <v>-926.605459999904</v>
      </c>
      <c r="U33" s="19">
        <f t="shared" si="16"/>
        <v>-0.607476635514019</v>
      </c>
      <c r="V33" s="19">
        <f t="shared" si="17"/>
        <v>-0.93855486037995</v>
      </c>
      <c r="W33" s="12"/>
      <c r="X33" s="29"/>
      <c r="Y33" s="29"/>
      <c r="Z33" s="29"/>
      <c r="AA33" s="29">
        <v>5</v>
      </c>
      <c r="AB33" s="12">
        <v>130.3014</v>
      </c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2125</v>
      </c>
      <c r="AJ33" s="47">
        <v>97543.83775</v>
      </c>
      <c r="AK33" s="47">
        <v>2130</v>
      </c>
      <c r="AL33" s="47">
        <v>97674.13915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626</v>
      </c>
      <c r="D34" s="12">
        <v>28244.614184</v>
      </c>
      <c r="E34" s="12">
        <f t="shared" si="1"/>
        <v>4</v>
      </c>
      <c r="F34" s="12">
        <f t="shared" si="2"/>
        <v>70.381813</v>
      </c>
      <c r="G34" s="12">
        <f t="shared" si="3"/>
        <v>17</v>
      </c>
      <c r="H34" s="12">
        <f t="shared" si="4"/>
        <v>963.910373999999</v>
      </c>
      <c r="I34" s="12">
        <f t="shared" si="5"/>
        <v>17</v>
      </c>
      <c r="J34" s="12">
        <f t="shared" si="6"/>
        <v>963.910373999999</v>
      </c>
      <c r="K34" s="12">
        <f t="shared" si="18"/>
        <v>-15</v>
      </c>
      <c r="L34" s="12">
        <f t="shared" si="7"/>
        <v>-291.609626000001</v>
      </c>
      <c r="M34" s="19">
        <f t="shared" si="8"/>
        <v>2.79146141215107</v>
      </c>
      <c r="N34" s="19">
        <f t="shared" si="9"/>
        <v>3.53330464167376</v>
      </c>
      <c r="O34" s="12">
        <f t="shared" si="10"/>
        <v>626</v>
      </c>
      <c r="P34" s="12">
        <f t="shared" si="11"/>
        <v>28244.614184</v>
      </c>
      <c r="Q34" s="12">
        <f t="shared" si="12"/>
        <v>17</v>
      </c>
      <c r="R34" s="12">
        <f t="shared" si="13"/>
        <v>963.910373999999</v>
      </c>
      <c r="S34" s="12">
        <f t="shared" si="14"/>
        <v>17</v>
      </c>
      <c r="T34" s="12">
        <f t="shared" si="15"/>
        <v>963.910373999999</v>
      </c>
      <c r="U34" s="19">
        <f t="shared" si="16"/>
        <v>2.79146141215107</v>
      </c>
      <c r="V34" s="19">
        <f t="shared" si="17"/>
        <v>3.53330464167376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622</v>
      </c>
      <c r="AJ34" s="47">
        <v>28174.232371</v>
      </c>
      <c r="AK34" s="47">
        <v>622</v>
      </c>
      <c r="AL34" s="47">
        <v>28174.232371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2497</v>
      </c>
      <c r="D35" s="12">
        <v>97480</v>
      </c>
      <c r="E35" s="12">
        <f t="shared" si="1"/>
        <v>1</v>
      </c>
      <c r="F35" s="12">
        <f t="shared" si="2"/>
        <v>90</v>
      </c>
      <c r="G35" s="12">
        <f t="shared" si="3"/>
        <v>-24</v>
      </c>
      <c r="H35" s="12">
        <f t="shared" si="4"/>
        <v>76</v>
      </c>
      <c r="I35" s="12">
        <f t="shared" si="5"/>
        <v>-24</v>
      </c>
      <c r="J35" s="12">
        <f t="shared" si="6"/>
        <v>76</v>
      </c>
      <c r="K35" s="12">
        <f t="shared" si="18"/>
        <v>-147</v>
      </c>
      <c r="L35" s="12">
        <f t="shared" si="7"/>
        <v>-5238</v>
      </c>
      <c r="M35" s="19">
        <f t="shared" si="8"/>
        <v>-0.952003173343911</v>
      </c>
      <c r="N35" s="19">
        <f t="shared" si="9"/>
        <v>0.078025543098846</v>
      </c>
      <c r="O35" s="12">
        <f t="shared" si="10"/>
        <v>2502</v>
      </c>
      <c r="P35" s="12">
        <f t="shared" si="11"/>
        <v>97638.284</v>
      </c>
      <c r="Q35" s="12">
        <f t="shared" si="12"/>
        <v>-19</v>
      </c>
      <c r="R35" s="12">
        <f t="shared" si="13"/>
        <v>234.284</v>
      </c>
      <c r="S35" s="12">
        <f t="shared" si="14"/>
        <v>-19</v>
      </c>
      <c r="T35" s="12">
        <f t="shared" si="15"/>
        <v>234.284</v>
      </c>
      <c r="U35" s="19">
        <f t="shared" si="16"/>
        <v>-0.753669178897263</v>
      </c>
      <c r="V35" s="19">
        <f t="shared" si="17"/>
        <v>0.240528109728553</v>
      </c>
      <c r="W35" s="12"/>
      <c r="X35" s="29"/>
      <c r="Y35" s="29"/>
      <c r="Z35" s="29"/>
      <c r="AA35" s="29">
        <v>5</v>
      </c>
      <c r="AB35" s="12">
        <v>158.284</v>
      </c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2496</v>
      </c>
      <c r="AJ35" s="47">
        <v>97390</v>
      </c>
      <c r="AK35" s="47">
        <v>2501</v>
      </c>
      <c r="AL35" s="47">
        <v>97548.284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2531</v>
      </c>
      <c r="D36" s="12">
        <v>83887</v>
      </c>
      <c r="E36" s="12">
        <f t="shared" si="1"/>
        <v>-2</v>
      </c>
      <c r="F36" s="12">
        <f t="shared" si="2"/>
        <v>-116</v>
      </c>
      <c r="G36" s="12">
        <f t="shared" si="3"/>
        <v>-12</v>
      </c>
      <c r="H36" s="12">
        <f t="shared" si="4"/>
        <v>-678</v>
      </c>
      <c r="I36" s="12">
        <f t="shared" si="5"/>
        <v>-12</v>
      </c>
      <c r="J36" s="12">
        <f t="shared" si="6"/>
        <v>-678</v>
      </c>
      <c r="K36" s="12">
        <f t="shared" si="18"/>
        <v>-15</v>
      </c>
      <c r="L36" s="12">
        <f t="shared" si="7"/>
        <v>-684</v>
      </c>
      <c r="M36" s="19">
        <f t="shared" si="8"/>
        <v>-0.471883602044829</v>
      </c>
      <c r="N36" s="19">
        <f t="shared" si="9"/>
        <v>-0.801750133033761</v>
      </c>
      <c r="O36" s="12">
        <f t="shared" si="10"/>
        <v>2531</v>
      </c>
      <c r="P36" s="12">
        <f t="shared" si="11"/>
        <v>83887</v>
      </c>
      <c r="Q36" s="12">
        <f t="shared" si="12"/>
        <v>-12</v>
      </c>
      <c r="R36" s="12">
        <f t="shared" si="13"/>
        <v>-678</v>
      </c>
      <c r="S36" s="12">
        <f t="shared" si="14"/>
        <v>-12</v>
      </c>
      <c r="T36" s="12">
        <f t="shared" si="15"/>
        <v>-678</v>
      </c>
      <c r="U36" s="19">
        <f t="shared" si="16"/>
        <v>-0.471883602044829</v>
      </c>
      <c r="V36" s="19">
        <f t="shared" si="17"/>
        <v>-0.801750133033761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2533</v>
      </c>
      <c r="AJ36" s="47">
        <v>84003</v>
      </c>
      <c r="AK36" s="47">
        <v>2533</v>
      </c>
      <c r="AL36" s="47">
        <v>84003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307</v>
      </c>
      <c r="D37" s="12">
        <v>13780.785956</v>
      </c>
      <c r="E37" s="12">
        <f t="shared" si="1"/>
        <v>-1</v>
      </c>
      <c r="F37" s="12">
        <f t="shared" si="2"/>
        <v>262</v>
      </c>
      <c r="G37" s="12">
        <f t="shared" si="3"/>
        <v>14</v>
      </c>
      <c r="H37" s="12">
        <f t="shared" si="4"/>
        <v>127.607099999999</v>
      </c>
      <c r="I37" s="12">
        <f t="shared" si="5"/>
        <v>14</v>
      </c>
      <c r="J37" s="12">
        <f t="shared" si="6"/>
        <v>127.607099999999</v>
      </c>
      <c r="K37" s="12">
        <f t="shared" si="18"/>
        <v>-30</v>
      </c>
      <c r="L37" s="12">
        <f t="shared" si="7"/>
        <v>-878.002900000001</v>
      </c>
      <c r="M37" s="19">
        <f t="shared" si="8"/>
        <v>4.77815699658703</v>
      </c>
      <c r="N37" s="19">
        <f t="shared" si="9"/>
        <v>0.934632889130587</v>
      </c>
      <c r="O37" s="12">
        <f t="shared" si="10"/>
        <v>307</v>
      </c>
      <c r="P37" s="12">
        <f t="shared" si="11"/>
        <v>13780.785956</v>
      </c>
      <c r="Q37" s="12">
        <f t="shared" si="12"/>
        <v>14</v>
      </c>
      <c r="R37" s="12">
        <f t="shared" si="13"/>
        <v>127.607099999999</v>
      </c>
      <c r="S37" s="12">
        <f t="shared" si="14"/>
        <v>14</v>
      </c>
      <c r="T37" s="12">
        <f t="shared" si="15"/>
        <v>127.607099999999</v>
      </c>
      <c r="U37" s="19">
        <f t="shared" si="16"/>
        <v>4.77815699658703</v>
      </c>
      <c r="V37" s="19">
        <f t="shared" si="17"/>
        <v>0.934632889130587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308</v>
      </c>
      <c r="AJ37" s="47">
        <v>13518.785956</v>
      </c>
      <c r="AK37" s="47">
        <v>308</v>
      </c>
      <c r="AL37" s="47">
        <v>13518.785956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437</v>
      </c>
      <c r="D38" s="12">
        <v>19255.895598</v>
      </c>
      <c r="E38" s="12">
        <f t="shared" si="1"/>
        <v>0</v>
      </c>
      <c r="F38" s="12">
        <f t="shared" si="2"/>
        <v>5.79999999999927</v>
      </c>
      <c r="G38" s="12">
        <f t="shared" si="3"/>
        <v>-7</v>
      </c>
      <c r="H38" s="12">
        <f t="shared" si="4"/>
        <v>-472.829504000001</v>
      </c>
      <c r="I38" s="12">
        <f t="shared" si="5"/>
        <v>-7</v>
      </c>
      <c r="J38" s="12">
        <f t="shared" si="6"/>
        <v>-472.829504000001</v>
      </c>
      <c r="K38" s="12">
        <f t="shared" si="18"/>
        <v>-47</v>
      </c>
      <c r="L38" s="12">
        <f t="shared" si="7"/>
        <v>-1491.829504</v>
      </c>
      <c r="M38" s="19">
        <f t="shared" si="8"/>
        <v>-1.57657657657658</v>
      </c>
      <c r="N38" s="19">
        <f t="shared" si="9"/>
        <v>-2.39665513891756</v>
      </c>
      <c r="O38" s="12">
        <f t="shared" si="10"/>
        <v>437</v>
      </c>
      <c r="P38" s="12">
        <f t="shared" si="11"/>
        <v>19255.895598</v>
      </c>
      <c r="Q38" s="12">
        <f t="shared" si="12"/>
        <v>-7</v>
      </c>
      <c r="R38" s="12">
        <f t="shared" si="13"/>
        <v>-472.829504000001</v>
      </c>
      <c r="S38" s="12">
        <f t="shared" si="14"/>
        <v>-7</v>
      </c>
      <c r="T38" s="12">
        <f t="shared" si="15"/>
        <v>-472.829504000001</v>
      </c>
      <c r="U38" s="19">
        <f t="shared" si="16"/>
        <v>-1.57657657657658</v>
      </c>
      <c r="V38" s="19">
        <f t="shared" si="17"/>
        <v>-2.39665513891756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437</v>
      </c>
      <c r="AJ38" s="47">
        <v>19250.095598</v>
      </c>
      <c r="AK38" s="47">
        <v>437</v>
      </c>
      <c r="AL38" s="47">
        <v>19250.095598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425</v>
      </c>
      <c r="D39" s="12">
        <v>19061.409688</v>
      </c>
      <c r="E39" s="12">
        <f t="shared" si="1"/>
        <v>0</v>
      </c>
      <c r="F39" s="12">
        <f t="shared" si="2"/>
        <v>201.579999999998</v>
      </c>
      <c r="G39" s="12">
        <f t="shared" si="3"/>
        <v>21</v>
      </c>
      <c r="H39" s="12">
        <f t="shared" si="4"/>
        <v>1502.971205</v>
      </c>
      <c r="I39" s="12">
        <f t="shared" si="5"/>
        <v>21</v>
      </c>
      <c r="J39" s="12">
        <f t="shared" si="6"/>
        <v>1502.971205</v>
      </c>
      <c r="K39" s="12">
        <f t="shared" si="18"/>
        <v>3</v>
      </c>
      <c r="L39" s="12">
        <f t="shared" si="7"/>
        <v>501.791204999998</v>
      </c>
      <c r="M39" s="19">
        <f t="shared" si="8"/>
        <v>5.1980198019802</v>
      </c>
      <c r="N39" s="19">
        <f t="shared" si="9"/>
        <v>8.55982271120047</v>
      </c>
      <c r="O39" s="12">
        <f t="shared" si="10"/>
        <v>425</v>
      </c>
      <c r="P39" s="12">
        <f t="shared" si="11"/>
        <v>19061.409688</v>
      </c>
      <c r="Q39" s="12">
        <f t="shared" si="12"/>
        <v>21</v>
      </c>
      <c r="R39" s="12">
        <f t="shared" si="13"/>
        <v>1502.971205</v>
      </c>
      <c r="S39" s="12">
        <f t="shared" si="14"/>
        <v>21</v>
      </c>
      <c r="T39" s="12">
        <f t="shared" si="15"/>
        <v>1502.971205</v>
      </c>
      <c r="U39" s="19">
        <f t="shared" si="16"/>
        <v>5.1980198019802</v>
      </c>
      <c r="V39" s="19">
        <f t="shared" si="17"/>
        <v>8.55982271120047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425</v>
      </c>
      <c r="AJ39" s="47">
        <v>18859.829688</v>
      </c>
      <c r="AK39" s="47">
        <v>425</v>
      </c>
      <c r="AL39" s="47">
        <v>18859.829688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337</v>
      </c>
      <c r="D40" s="12">
        <v>434495.884804</v>
      </c>
      <c r="E40" s="12">
        <f t="shared" si="1"/>
        <v>0</v>
      </c>
      <c r="F40" s="12">
        <f t="shared" si="2"/>
        <v>0</v>
      </c>
      <c r="G40" s="12">
        <f t="shared" si="3"/>
        <v>13</v>
      </c>
      <c r="H40" s="12">
        <f t="shared" si="4"/>
        <v>15864.91</v>
      </c>
      <c r="I40" s="12">
        <f t="shared" si="5"/>
        <v>13</v>
      </c>
      <c r="J40" s="12">
        <f t="shared" si="6"/>
        <v>15864.91</v>
      </c>
      <c r="K40" s="12">
        <f t="shared" si="18"/>
        <v>2</v>
      </c>
      <c r="L40" s="12">
        <f t="shared" si="7"/>
        <v>6641.93999999994</v>
      </c>
      <c r="M40" s="19">
        <f t="shared" si="8"/>
        <v>4.01234567901235</v>
      </c>
      <c r="N40" s="19">
        <f t="shared" si="9"/>
        <v>3.7897124089845</v>
      </c>
      <c r="O40" s="12">
        <f t="shared" si="10"/>
        <v>336</v>
      </c>
      <c r="P40" s="12">
        <f t="shared" si="11"/>
        <v>433995.884804</v>
      </c>
      <c r="Q40" s="12">
        <f t="shared" si="12"/>
        <v>12</v>
      </c>
      <c r="R40" s="12">
        <f t="shared" si="13"/>
        <v>15364.91</v>
      </c>
      <c r="S40" s="12">
        <f t="shared" si="14"/>
        <v>12</v>
      </c>
      <c r="T40" s="12">
        <f t="shared" si="15"/>
        <v>15364.91</v>
      </c>
      <c r="U40" s="19">
        <f t="shared" si="16"/>
        <v>3.7037037037037</v>
      </c>
      <c r="V40" s="19">
        <f t="shared" si="17"/>
        <v>3.67027547524254</v>
      </c>
      <c r="W40" s="12">
        <v>-1</v>
      </c>
      <c r="X40" s="29">
        <v>-500</v>
      </c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337</v>
      </c>
      <c r="AJ40" s="47">
        <v>434495.884804</v>
      </c>
      <c r="AK40" s="47">
        <v>336</v>
      </c>
      <c r="AL40" s="47">
        <v>433995.884804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382</v>
      </c>
      <c r="D41" s="12">
        <v>18211.912778</v>
      </c>
      <c r="E41" s="12">
        <f t="shared" si="1"/>
        <v>-2</v>
      </c>
      <c r="F41" s="12">
        <f t="shared" si="2"/>
        <v>-48.6099999999969</v>
      </c>
      <c r="G41" s="12">
        <f t="shared" si="3"/>
        <v>30</v>
      </c>
      <c r="H41" s="12">
        <f t="shared" si="4"/>
        <v>606.086663000002</v>
      </c>
      <c r="I41" s="12">
        <f t="shared" si="5"/>
        <v>30</v>
      </c>
      <c r="J41" s="12">
        <f t="shared" si="6"/>
        <v>606.086663000002</v>
      </c>
      <c r="K41" s="12">
        <f t="shared" si="18"/>
        <v>-4</v>
      </c>
      <c r="L41" s="12">
        <f t="shared" si="7"/>
        <v>-314.673337</v>
      </c>
      <c r="M41" s="19">
        <f t="shared" si="8"/>
        <v>8.52272727272727</v>
      </c>
      <c r="N41" s="19">
        <f t="shared" si="9"/>
        <v>3.4425346418912</v>
      </c>
      <c r="O41" s="12">
        <f>C41+W41+AA41-AC41+Y41</f>
        <v>347</v>
      </c>
      <c r="P41" s="12">
        <f>D41+X41+AB41-AD41+Z41</f>
        <v>17376.045278</v>
      </c>
      <c r="Q41" s="12">
        <f t="shared" si="12"/>
        <v>-5</v>
      </c>
      <c r="R41" s="12">
        <f t="shared" si="13"/>
        <v>-229.780836999998</v>
      </c>
      <c r="S41" s="12">
        <f t="shared" si="14"/>
        <v>-5</v>
      </c>
      <c r="T41" s="12">
        <f t="shared" si="15"/>
        <v>-229.780836999998</v>
      </c>
      <c r="U41" s="19">
        <f t="shared" si="16"/>
        <v>-1.42045454545455</v>
      </c>
      <c r="V41" s="19">
        <f t="shared" si="17"/>
        <v>-1.30514089767266</v>
      </c>
      <c r="W41" s="12"/>
      <c r="X41" s="29"/>
      <c r="Y41" s="29"/>
      <c r="Z41" s="29"/>
      <c r="AA41" s="12">
        <f>-SUM(AA7:AA40)</f>
        <v>-35</v>
      </c>
      <c r="AB41" s="12">
        <f>-SUM(AB7:AB40)</f>
        <v>-835.8675</v>
      </c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384</v>
      </c>
      <c r="AJ41" s="47">
        <v>18260.522778</v>
      </c>
      <c r="AK41" s="47">
        <v>349</v>
      </c>
      <c r="AL41" s="47">
        <v>17424.655278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1773234</v>
      </c>
      <c r="E42" s="16"/>
      <c r="F42" s="12">
        <v>18638</v>
      </c>
      <c r="G42" s="16"/>
      <c r="H42" s="12">
        <v>35292</v>
      </c>
      <c r="I42" s="16"/>
      <c r="J42" s="12">
        <v>35292</v>
      </c>
      <c r="K42" s="12"/>
      <c r="L42" s="12"/>
      <c r="M42" s="20"/>
      <c r="N42" s="19">
        <v>2.03</v>
      </c>
      <c r="O42" s="12" t="s">
        <v>65</v>
      </c>
      <c r="P42" s="12">
        <v>354287</v>
      </c>
      <c r="Q42" s="16"/>
      <c r="R42" s="12">
        <v>9787</v>
      </c>
      <c r="S42" s="16"/>
      <c r="T42" s="12">
        <v>9787</v>
      </c>
      <c r="U42" s="16"/>
      <c r="V42" s="19">
        <v>2.84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2026-01-28T00:53:58Z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