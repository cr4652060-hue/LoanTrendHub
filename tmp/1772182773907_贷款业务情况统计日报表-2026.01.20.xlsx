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<sst xmlns="http://schemas.openxmlformats.org/spreadsheetml/2006/main" count="139" uniqueCount="66">
  <si>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</si>
  <si>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2026.01.20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</si>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</sst>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25016</v>
      </c>
      <c r="D6" s="12">
        <f>SUM(D7:D41)</f>
        <v>1418267.845485</v>
      </c>
      <c r="E6" s="12">
        <f>C6-AI6</f>
        <v>118</v>
      </c>
      <c r="F6" s="12">
        <f>D6-AJ6</f>
        <v>14959.3866430002</v>
      </c>
      <c r="G6" s="12">
        <f>C6-AM6</f>
        <v>425</v>
      </c>
      <c r="H6" s="12">
        <f>D6-AN6</f>
        <v>24826.2994980002</v>
      </c>
      <c r="I6" s="12">
        <f>C6-AE6</f>
        <v>425</v>
      </c>
      <c r="J6" s="12">
        <f>D6-AF6</f>
        <v>24826.2994980002</v>
      </c>
      <c r="K6" s="12">
        <f>I6-AS6</f>
        <v>-1107</v>
      </c>
      <c r="L6" s="12">
        <f>J6-AT6</f>
        <v>-19024.1905019996</v>
      </c>
      <c r="M6" s="19">
        <f>I6/AE6*100</f>
        <v>1.72827457199789</v>
      </c>
      <c r="N6" s="19">
        <f>J6/AF6*100</f>
        <v>1.78165345862537</v>
      </c>
      <c r="O6" s="12">
        <f>C6+Y6</f>
        <v>25016</v>
      </c>
      <c r="P6" s="12">
        <f>D6+Z6</f>
        <v>1418267.845485</v>
      </c>
      <c r="Q6" s="12">
        <f>O6-AO6</f>
        <v>425</v>
      </c>
      <c r="R6" s="12">
        <f>P6-AP6</f>
        <v>24826.2994980002</v>
      </c>
      <c r="S6" s="30">
        <f>O6-AG6</f>
        <v>425</v>
      </c>
      <c r="T6" s="12">
        <f>P6-AH6</f>
        <v>24826.2994980002</v>
      </c>
      <c r="U6" s="19">
        <f>S6/AG6*100</f>
        <v>1.72827457199789</v>
      </c>
      <c r="V6" s="19">
        <f>T6/AH6*100</f>
        <v>1.78165345862537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24898</v>
      </c>
      <c r="AJ6" s="47">
        <v>1403308.458842</v>
      </c>
      <c r="AK6" s="47">
        <v>24898</v>
      </c>
      <c r="AL6" s="48">
        <v>1403308.458842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1660</v>
      </c>
      <c r="D7" s="12">
        <v>82513.25008</v>
      </c>
      <c r="E7" s="12">
        <f>C7-AI7</f>
        <v>7</v>
      </c>
      <c r="F7" s="12">
        <f>D7-AJ7</f>
        <v>1061.924829</v>
      </c>
      <c r="G7" s="12">
        <f>C7-AM7</f>
        <v>3</v>
      </c>
      <c r="H7" s="12">
        <f>D7-AN7</f>
        <v>103.334183999992</v>
      </c>
      <c r="I7" s="12">
        <f>C7-AE7</f>
        <v>3</v>
      </c>
      <c r="J7" s="12">
        <f>D7-AF7</f>
        <v>103.334183999992</v>
      </c>
      <c r="K7" s="12">
        <f t="shared" ref="K6:K12" si="0">I7-AS7</f>
        <v>-28</v>
      </c>
      <c r="L7" s="12">
        <f>J7-AT7</f>
        <v>-1404.20581600002</v>
      </c>
      <c r="M7" s="19">
        <f>I7/AE7*100</f>
        <v>0.181050090525045</v>
      </c>
      <c r="N7" s="19">
        <f>J7/AF7*100</f>
        <v>0.125390473799777</v>
      </c>
      <c r="O7" s="12">
        <f>C7+W7+AA7-AC7</f>
        <v>1660</v>
      </c>
      <c r="P7" s="12">
        <f>D7+X7+AB7-AD7</f>
        <v>82513.25008</v>
      </c>
      <c r="Q7" s="12">
        <f>O7-AO7</f>
        <v>3</v>
      </c>
      <c r="R7" s="12">
        <f>P7-AP7</f>
        <v>103.334183999992</v>
      </c>
      <c r="S7" s="12">
        <f>O7-AG7</f>
        <v>3</v>
      </c>
      <c r="T7" s="12">
        <f>P7-AH7</f>
        <v>103.334183999992</v>
      </c>
      <c r="U7" s="19">
        <f>S7/AG7*100</f>
        <v>0.181050090525045</v>
      </c>
      <c r="V7" s="19">
        <f>T7/AH7*100</f>
        <v>0.125390473799777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1653</v>
      </c>
      <c r="AJ7" s="47">
        <v>81451.325251</v>
      </c>
      <c r="AK7" s="47">
        <v>1653</v>
      </c>
      <c r="AL7" s="47">
        <v>81451.325251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1907</v>
      </c>
      <c r="D8" s="12">
        <v>123272.962665</v>
      </c>
      <c r="E8" s="12">
        <f>C8-AI8</f>
        <v>7</v>
      </c>
      <c r="F8" s="12">
        <f>D8-AJ8</f>
        <v>1581.59951499999</v>
      </c>
      <c r="G8" s="12">
        <f>C8-AM8</f>
        <v>-18</v>
      </c>
      <c r="H8" s="12">
        <f>D8-AN8</f>
        <v>44.593068999995</v>
      </c>
      <c r="I8" s="12">
        <f>C8-AE8</f>
        <v>-18</v>
      </c>
      <c r="J8" s="12">
        <f>D8-AF8</f>
        <v>44.593068999995</v>
      </c>
      <c r="K8" s="12">
        <f t="shared" si="0"/>
        <v>-18</v>
      </c>
      <c r="L8" s="12">
        <f>J8-AT8</f>
        <v>1158.443069</v>
      </c>
      <c r="M8" s="19">
        <f>I8/AE8*100</f>
        <v>-0.935064935064935</v>
      </c>
      <c r="N8" s="19">
        <f>J8/AF8*100</f>
        <v>0.0361873399333221</v>
      </c>
      <c r="O8" s="12">
        <f>C8+W8+AA8-AC8</f>
        <v>1915</v>
      </c>
      <c r="P8" s="12">
        <f>D8+X8+AB8-AD8</f>
        <v>123478.328665</v>
      </c>
      <c r="Q8" s="12">
        <f>O8-AO8</f>
        <v>-10</v>
      </c>
      <c r="R8" s="12">
        <f>P8-AP8</f>
        <v>249.95906899999</v>
      </c>
      <c r="S8" s="30">
        <f>O8-AG8</f>
        <v>-10</v>
      </c>
      <c r="T8" s="12">
        <f>P8-AH8</f>
        <v>249.95906899999</v>
      </c>
      <c r="U8" s="19">
        <f>S8/AG8*100</f>
        <v>-0.519480519480519</v>
      </c>
      <c r="V8" s="19">
        <f>T8/AH8*100</f>
        <v>0.202842145700273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1900</v>
      </c>
      <c r="AJ8" s="47">
        <v>121691.36315</v>
      </c>
      <c r="AK8" s="47">
        <v>1900</v>
      </c>
      <c r="AL8" s="47">
        <v>121691.36315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772</v>
      </c>
      <c r="D9" s="12">
        <v>23805.667464</v>
      </c>
      <c r="E9" s="12">
        <f t="shared" ref="E9:E41" si="1">C9-AI9</f>
        <v>2</v>
      </c>
      <c r="F9" s="12">
        <f t="shared" ref="F9:F41" si="2">D9-AJ9</f>
        <v>413.924637</v>
      </c>
      <c r="G9" s="12">
        <f t="shared" ref="G9:G41" si="3">C9-AM9</f>
        <v>59</v>
      </c>
      <c r="H9" s="12">
        <f t="shared" ref="H9:H41" si="4">D9-AN9</f>
        <v>687.372227999997</v>
      </c>
      <c r="I9" s="12">
        <f t="shared" ref="I9:I41" si="5">C9-AE9</f>
        <v>59</v>
      </c>
      <c r="J9" s="12">
        <f t="shared" ref="J9:J41" si="6">D9-AF9</f>
        <v>687.372227999997</v>
      </c>
      <c r="K9" s="12">
        <f t="shared" si="0"/>
        <v>-42</v>
      </c>
      <c r="L9" s="12">
        <f t="shared" ref="L9:L41" si="7">J9-AT9</f>
        <v>-565.707772000003</v>
      </c>
      <c r="M9" s="19">
        <f t="shared" ref="M9:M41" si="8">I9/AE9*100</f>
        <v>8.27489481065919</v>
      </c>
      <c r="N9" s="19">
        <f t="shared" ref="N9:N41" si="9">J9/AF9*100</f>
        <v>2.97328250627068</v>
      </c>
      <c r="O9" s="12">
        <f t="shared" ref="O9:O40" si="10">C9+W9+AA9-AC9</f>
        <v>772</v>
      </c>
      <c r="P9" s="12">
        <f t="shared" ref="P9:P40" si="11">D9+X9+AB9-AD9</f>
        <v>23805.667464</v>
      </c>
      <c r="Q9" s="12">
        <f t="shared" ref="Q9:Q41" si="12">O9-AO9</f>
        <v>59</v>
      </c>
      <c r="R9" s="12">
        <f t="shared" ref="R9:R41" si="13">P9-AP9</f>
        <v>687.372227999997</v>
      </c>
      <c r="S9" s="12">
        <f t="shared" ref="S9:S41" si="14">O9-AG9</f>
        <v>59</v>
      </c>
      <c r="T9" s="12">
        <f t="shared" ref="T9:T41" si="15">P9-AH9</f>
        <v>687.372227999997</v>
      </c>
      <c r="U9" s="19">
        <f t="shared" ref="U9:U41" si="16">S9/AG9*100</f>
        <v>8.27489481065919</v>
      </c>
      <c r="V9" s="19">
        <f t="shared" ref="V9:V41" si="17">T9/AH9*100</f>
        <v>2.97328250627068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770</v>
      </c>
      <c r="AJ9" s="47">
        <v>23391.742827</v>
      </c>
      <c r="AK9" s="47">
        <v>770</v>
      </c>
      <c r="AL9" s="47">
        <v>23391.742827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937</v>
      </c>
      <c r="D10" s="12">
        <v>27889.220593</v>
      </c>
      <c r="E10" s="12">
        <f t="shared" si="1"/>
        <v>7</v>
      </c>
      <c r="F10" s="12">
        <f t="shared" si="2"/>
        <v>228.899999999998</v>
      </c>
      <c r="G10" s="12">
        <f t="shared" si="3"/>
        <v>46</v>
      </c>
      <c r="H10" s="12">
        <f t="shared" si="4"/>
        <v>13.5195179999973</v>
      </c>
      <c r="I10" s="12">
        <f t="shared" si="5"/>
        <v>46</v>
      </c>
      <c r="J10" s="12">
        <f t="shared" si="6"/>
        <v>13.5195179999973</v>
      </c>
      <c r="K10" s="12">
        <f t="shared" si="0"/>
        <v>28</v>
      </c>
      <c r="L10" s="12">
        <f t="shared" si="7"/>
        <v>-1697.250482</v>
      </c>
      <c r="M10" s="19">
        <f t="shared" si="8"/>
        <v>5.16273849607183</v>
      </c>
      <c r="N10" s="19">
        <f t="shared" si="9"/>
        <v>0.0484992932146276</v>
      </c>
      <c r="O10" s="12">
        <f t="shared" si="10"/>
        <v>937</v>
      </c>
      <c r="P10" s="12">
        <f t="shared" si="11"/>
        <v>27889.220593</v>
      </c>
      <c r="Q10" s="12">
        <f t="shared" si="12"/>
        <v>46</v>
      </c>
      <c r="R10" s="12">
        <f t="shared" si="13"/>
        <v>13.5195179999973</v>
      </c>
      <c r="S10" s="12">
        <f t="shared" si="14"/>
        <v>46</v>
      </c>
      <c r="T10" s="12">
        <f t="shared" si="15"/>
        <v>13.5195179999973</v>
      </c>
      <c r="U10" s="19">
        <f t="shared" si="16"/>
        <v>5.16273849607183</v>
      </c>
      <c r="V10" s="19">
        <f t="shared" si="17"/>
        <v>0.0484992932146276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930</v>
      </c>
      <c r="AJ10" s="47">
        <v>27660.320593</v>
      </c>
      <c r="AK10" s="47">
        <v>930</v>
      </c>
      <c r="AL10" s="47">
        <v>27660.320593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516</v>
      </c>
      <c r="D11" s="12">
        <v>12652.341665</v>
      </c>
      <c r="E11" s="12">
        <f t="shared" si="1"/>
        <v>2</v>
      </c>
      <c r="F11" s="12">
        <f t="shared" si="2"/>
        <v>37.9399450000001</v>
      </c>
      <c r="G11" s="12">
        <f t="shared" si="3"/>
        <v>25</v>
      </c>
      <c r="H11" s="12">
        <f t="shared" si="4"/>
        <v>510.869850999999</v>
      </c>
      <c r="I11" s="12">
        <f t="shared" si="5"/>
        <v>25</v>
      </c>
      <c r="J11" s="12">
        <f t="shared" si="6"/>
        <v>510.869850999999</v>
      </c>
      <c r="K11" s="12">
        <f t="shared" si="0"/>
        <v>-14</v>
      </c>
      <c r="L11" s="12">
        <f t="shared" si="7"/>
        <v>-425.790149</v>
      </c>
      <c r="M11" s="19">
        <f t="shared" si="8"/>
        <v>5.09164969450102</v>
      </c>
      <c r="N11" s="19">
        <f t="shared" si="9"/>
        <v>4.20764351164518</v>
      </c>
      <c r="O11" s="12">
        <f t="shared" si="10"/>
        <v>516</v>
      </c>
      <c r="P11" s="12">
        <f t="shared" si="11"/>
        <v>12652.341665</v>
      </c>
      <c r="Q11" s="12">
        <f t="shared" si="12"/>
        <v>25</v>
      </c>
      <c r="R11" s="12">
        <f t="shared" si="13"/>
        <v>510.869850999999</v>
      </c>
      <c r="S11" s="12">
        <f t="shared" si="14"/>
        <v>25</v>
      </c>
      <c r="T11" s="12">
        <f t="shared" si="15"/>
        <v>510.869850999999</v>
      </c>
      <c r="U11" s="19">
        <f t="shared" si="16"/>
        <v>5.09164969450102</v>
      </c>
      <c r="V11" s="19">
        <f t="shared" si="17"/>
        <v>4.20764351164518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514</v>
      </c>
      <c r="AJ11" s="47">
        <v>12614.40172</v>
      </c>
      <c r="AK11" s="47">
        <v>514</v>
      </c>
      <c r="AL11" s="47">
        <v>12614.40172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395</v>
      </c>
      <c r="D12" s="12">
        <v>14379.229165</v>
      </c>
      <c r="E12" s="12">
        <f t="shared" si="1"/>
        <v>0</v>
      </c>
      <c r="F12" s="12">
        <f t="shared" si="2"/>
        <v>6.81000000000131</v>
      </c>
      <c r="G12" s="12">
        <f t="shared" si="3"/>
        <v>37</v>
      </c>
      <c r="H12" s="12">
        <f t="shared" si="4"/>
        <v>1003.982828</v>
      </c>
      <c r="I12" s="12">
        <f t="shared" si="5"/>
        <v>37</v>
      </c>
      <c r="J12" s="12">
        <f t="shared" si="6"/>
        <v>1003.982828</v>
      </c>
      <c r="K12" s="12">
        <f t="shared" si="0"/>
        <v>-36</v>
      </c>
      <c r="L12" s="12">
        <f t="shared" si="7"/>
        <v>-490.017172</v>
      </c>
      <c r="M12" s="19">
        <f t="shared" si="8"/>
        <v>10.3351955307263</v>
      </c>
      <c r="N12" s="19">
        <f t="shared" si="9"/>
        <v>7.50627541881362</v>
      </c>
      <c r="O12" s="12">
        <f t="shared" si="10"/>
        <v>395</v>
      </c>
      <c r="P12" s="12">
        <f t="shared" si="11"/>
        <v>14379.229165</v>
      </c>
      <c r="Q12" s="12">
        <f t="shared" si="12"/>
        <v>37</v>
      </c>
      <c r="R12" s="12">
        <f t="shared" si="13"/>
        <v>1003.982828</v>
      </c>
      <c r="S12" s="30">
        <f t="shared" si="14"/>
        <v>37</v>
      </c>
      <c r="T12" s="12">
        <f t="shared" si="15"/>
        <v>1003.982828</v>
      </c>
      <c r="U12" s="19">
        <f t="shared" si="16"/>
        <v>10.3351955307263</v>
      </c>
      <c r="V12" s="19">
        <f t="shared" si="17"/>
        <v>7.50627541881362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395</v>
      </c>
      <c r="AJ12" s="47">
        <v>14372.419165</v>
      </c>
      <c r="AK12" s="47">
        <v>395</v>
      </c>
      <c r="AL12" s="47">
        <v>14372.419165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474</v>
      </c>
      <c r="D13" s="12">
        <v>12264.07839</v>
      </c>
      <c r="E13" s="12">
        <f t="shared" si="1"/>
        <v>6</v>
      </c>
      <c r="F13" s="12">
        <f t="shared" si="2"/>
        <v>473.25</v>
      </c>
      <c r="G13" s="12">
        <f t="shared" si="3"/>
        <v>5</v>
      </c>
      <c r="H13" s="12">
        <f t="shared" si="4"/>
        <v>226.788774000001</v>
      </c>
      <c r="I13" s="12">
        <f t="shared" si="5"/>
        <v>5</v>
      </c>
      <c r="J13" s="12">
        <f t="shared" si="6"/>
        <v>226.788774000001</v>
      </c>
      <c r="K13" s="12">
        <f t="shared" ref="K9:K41" si="18">I13-AS13</f>
        <v>2</v>
      </c>
      <c r="L13" s="12">
        <f t="shared" si="7"/>
        <v>-339.681226</v>
      </c>
      <c r="M13" s="19">
        <f t="shared" si="8"/>
        <v>1.06609808102345</v>
      </c>
      <c r="N13" s="19">
        <f t="shared" si="9"/>
        <v>1.88405181926131</v>
      </c>
      <c r="O13" s="12">
        <f t="shared" si="10"/>
        <v>478</v>
      </c>
      <c r="P13" s="12">
        <f t="shared" si="11"/>
        <v>12353.57839</v>
      </c>
      <c r="Q13" s="12">
        <f t="shared" si="12"/>
        <v>9</v>
      </c>
      <c r="R13" s="12">
        <f t="shared" si="13"/>
        <v>316.288774000001</v>
      </c>
      <c r="S13" s="12">
        <f t="shared" si="14"/>
        <v>9</v>
      </c>
      <c r="T13" s="12">
        <f t="shared" si="15"/>
        <v>316.288774000001</v>
      </c>
      <c r="U13" s="19">
        <f t="shared" si="16"/>
        <v>1.91897654584222</v>
      </c>
      <c r="V13" s="19">
        <f t="shared" si="17"/>
        <v>2.62757467910042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468</v>
      </c>
      <c r="AJ13" s="47">
        <v>11790.82839</v>
      </c>
      <c r="AK13" s="47">
        <v>468</v>
      </c>
      <c r="AL13" s="47">
        <v>11790.82839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362</v>
      </c>
      <c r="D14" s="12">
        <v>11356.451476</v>
      </c>
      <c r="E14" s="12">
        <f t="shared" si="1"/>
        <v>2</v>
      </c>
      <c r="F14" s="12">
        <f t="shared" si="2"/>
        <v>29.6301999999996</v>
      </c>
      <c r="G14" s="12">
        <f t="shared" si="3"/>
        <v>14</v>
      </c>
      <c r="H14" s="12">
        <f t="shared" si="4"/>
        <v>776.760428</v>
      </c>
      <c r="I14" s="12">
        <f t="shared" si="5"/>
        <v>14</v>
      </c>
      <c r="J14" s="12">
        <f t="shared" si="6"/>
        <v>776.760428</v>
      </c>
      <c r="K14" s="12">
        <f t="shared" si="18"/>
        <v>-62</v>
      </c>
      <c r="L14" s="12">
        <f t="shared" si="7"/>
        <v>-140.539571999999</v>
      </c>
      <c r="M14" s="19">
        <f t="shared" si="8"/>
        <v>4.02298850574713</v>
      </c>
      <c r="N14" s="19">
        <f t="shared" si="9"/>
        <v>7.34199538035508</v>
      </c>
      <c r="O14" s="12">
        <f t="shared" si="10"/>
        <v>362</v>
      </c>
      <c r="P14" s="12">
        <f t="shared" si="11"/>
        <v>11356.451476</v>
      </c>
      <c r="Q14" s="12">
        <f t="shared" si="12"/>
        <v>14</v>
      </c>
      <c r="R14" s="12">
        <f t="shared" si="13"/>
        <v>776.760428</v>
      </c>
      <c r="S14" s="12">
        <f t="shared" si="14"/>
        <v>14</v>
      </c>
      <c r="T14" s="12">
        <f t="shared" si="15"/>
        <v>776.760428</v>
      </c>
      <c r="U14" s="19">
        <f t="shared" si="16"/>
        <v>4.02298850574713</v>
      </c>
      <c r="V14" s="19">
        <f t="shared" si="17"/>
        <v>7.34199538035508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360</v>
      </c>
      <c r="AJ14" s="47">
        <v>11326.821276</v>
      </c>
      <c r="AK14" s="47">
        <v>360</v>
      </c>
      <c r="AL14" s="47">
        <v>11326.821276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712</v>
      </c>
      <c r="D15" s="12">
        <v>18235.844755</v>
      </c>
      <c r="E15" s="12">
        <f t="shared" si="1"/>
        <v>4</v>
      </c>
      <c r="F15" s="12">
        <f t="shared" si="2"/>
        <v>-22.0800000000017</v>
      </c>
      <c r="G15" s="12">
        <f t="shared" si="3"/>
        <v>58</v>
      </c>
      <c r="H15" s="12">
        <f t="shared" si="4"/>
        <v>694.508008999997</v>
      </c>
      <c r="I15" s="12">
        <f t="shared" si="5"/>
        <v>58</v>
      </c>
      <c r="J15" s="12">
        <f t="shared" si="6"/>
        <v>694.508008999997</v>
      </c>
      <c r="K15" s="12">
        <f t="shared" si="18"/>
        <v>-52</v>
      </c>
      <c r="L15" s="12">
        <f t="shared" si="7"/>
        <v>-765.341991000003</v>
      </c>
      <c r="M15" s="19">
        <f t="shared" si="8"/>
        <v>8.86850152905199</v>
      </c>
      <c r="N15" s="19">
        <f t="shared" si="9"/>
        <v>3.95926501529804</v>
      </c>
      <c r="O15" s="12">
        <f t="shared" si="10"/>
        <v>712</v>
      </c>
      <c r="P15" s="12">
        <f t="shared" si="11"/>
        <v>18235.844755</v>
      </c>
      <c r="Q15" s="12">
        <f t="shared" si="12"/>
        <v>58</v>
      </c>
      <c r="R15" s="12">
        <f t="shared" si="13"/>
        <v>694.508008999997</v>
      </c>
      <c r="S15" s="12">
        <f t="shared" si="14"/>
        <v>58</v>
      </c>
      <c r="T15" s="12">
        <f t="shared" si="15"/>
        <v>694.508008999997</v>
      </c>
      <c r="U15" s="19">
        <f t="shared" si="16"/>
        <v>8.86850152905199</v>
      </c>
      <c r="V15" s="19">
        <f t="shared" si="17"/>
        <v>3.95926501529804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708</v>
      </c>
      <c r="AJ15" s="47">
        <v>18257.924755</v>
      </c>
      <c r="AK15" s="47">
        <v>708</v>
      </c>
      <c r="AL15" s="47">
        <v>18257.924755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696</v>
      </c>
      <c r="D16" s="12">
        <v>23719.868595</v>
      </c>
      <c r="E16" s="12">
        <f t="shared" si="1"/>
        <v>2</v>
      </c>
      <c r="F16" s="12">
        <f t="shared" si="2"/>
        <v>77.5999999999985</v>
      </c>
      <c r="G16" s="12">
        <f t="shared" si="3"/>
        <v>-7</v>
      </c>
      <c r="H16" s="12">
        <f t="shared" si="4"/>
        <v>819.141631999999</v>
      </c>
      <c r="I16" s="12">
        <f t="shared" si="5"/>
        <v>-7</v>
      </c>
      <c r="J16" s="12">
        <f t="shared" si="6"/>
        <v>819.141631999999</v>
      </c>
      <c r="K16" s="12">
        <f t="shared" si="18"/>
        <v>-70</v>
      </c>
      <c r="L16" s="12">
        <f t="shared" si="7"/>
        <v>31.1816319999999</v>
      </c>
      <c r="M16" s="19">
        <f t="shared" si="8"/>
        <v>-0.995732574679943</v>
      </c>
      <c r="N16" s="19">
        <f t="shared" si="9"/>
        <v>3.57692414447568</v>
      </c>
      <c r="O16" s="12">
        <f t="shared" si="10"/>
        <v>696</v>
      </c>
      <c r="P16" s="12">
        <f t="shared" si="11"/>
        <v>23719.868595</v>
      </c>
      <c r="Q16" s="12">
        <f t="shared" si="12"/>
        <v>-7</v>
      </c>
      <c r="R16" s="12">
        <f t="shared" si="13"/>
        <v>819.141631999999</v>
      </c>
      <c r="S16" s="12">
        <f t="shared" si="14"/>
        <v>-7</v>
      </c>
      <c r="T16" s="12">
        <f t="shared" si="15"/>
        <v>819.141631999999</v>
      </c>
      <c r="U16" s="19">
        <f t="shared" si="16"/>
        <v>-0.995732574679943</v>
      </c>
      <c r="V16" s="19">
        <f t="shared" si="17"/>
        <v>3.57692414447568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23642.268595</v>
      </c>
      <c r="AK16" s="47">
        <v>694</v>
      </c>
      <c r="AL16" s="47">
        <v>23642.268595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579</v>
      </c>
      <c r="D17" s="12">
        <v>17935.939323</v>
      </c>
      <c r="E17" s="12">
        <f t="shared" si="1"/>
        <v>-4</v>
      </c>
      <c r="F17" s="12">
        <f t="shared" si="2"/>
        <v>-128.513005000001</v>
      </c>
      <c r="G17" s="12">
        <f t="shared" si="3"/>
        <v>-20</v>
      </c>
      <c r="H17" s="12">
        <f t="shared" si="4"/>
        <v>-494.081554</v>
      </c>
      <c r="I17" s="12">
        <f t="shared" si="5"/>
        <v>-20</v>
      </c>
      <c r="J17" s="12">
        <f t="shared" si="6"/>
        <v>-494.081554</v>
      </c>
      <c r="K17" s="12">
        <f t="shared" si="18"/>
        <v>-28</v>
      </c>
      <c r="L17" s="12">
        <f t="shared" si="7"/>
        <v>-1223.791554</v>
      </c>
      <c r="M17" s="19">
        <f t="shared" si="8"/>
        <v>-3.33889816360601</v>
      </c>
      <c r="N17" s="19">
        <f t="shared" si="9"/>
        <v>-2.68085184112079</v>
      </c>
      <c r="O17" s="12">
        <f t="shared" si="10"/>
        <v>582</v>
      </c>
      <c r="P17" s="12">
        <f t="shared" si="11"/>
        <v>17986.226423</v>
      </c>
      <c r="Q17" s="12">
        <f t="shared" si="12"/>
        <v>-17</v>
      </c>
      <c r="R17" s="12">
        <f t="shared" si="13"/>
        <v>-443.794453999999</v>
      </c>
      <c r="S17" s="30">
        <f t="shared" si="14"/>
        <v>-17</v>
      </c>
      <c r="T17" s="12">
        <f t="shared" si="15"/>
        <v>-443.794453999999</v>
      </c>
      <c r="U17" s="19">
        <f t="shared" si="16"/>
        <v>-2.83806343906511</v>
      </c>
      <c r="V17" s="19">
        <f t="shared" si="17"/>
        <v>-2.40799756528675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583</v>
      </c>
      <c r="AJ17" s="47">
        <v>18064.452328</v>
      </c>
      <c r="AK17" s="47">
        <v>583</v>
      </c>
      <c r="AL17" s="47">
        <v>18064.452328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478</v>
      </c>
      <c r="D18" s="12">
        <v>20237.188215</v>
      </c>
      <c r="E18" s="12">
        <f t="shared" si="1"/>
        <v>-4</v>
      </c>
      <c r="F18" s="12">
        <f t="shared" si="2"/>
        <v>446.5</v>
      </c>
      <c r="G18" s="12">
        <f t="shared" si="3"/>
        <v>-4</v>
      </c>
      <c r="H18" s="12">
        <f t="shared" si="4"/>
        <v>679.724814999998</v>
      </c>
      <c r="I18" s="12">
        <f t="shared" si="5"/>
        <v>-4</v>
      </c>
      <c r="J18" s="12">
        <f t="shared" si="6"/>
        <v>679.724814999998</v>
      </c>
      <c r="K18" s="12">
        <f t="shared" si="18"/>
        <v>-15</v>
      </c>
      <c r="L18" s="12">
        <f t="shared" si="7"/>
        <v>-631.745185000002</v>
      </c>
      <c r="M18" s="19">
        <f t="shared" si="8"/>
        <v>-0.829875518672199</v>
      </c>
      <c r="N18" s="19">
        <f t="shared" si="9"/>
        <v>3.47552645809884</v>
      </c>
      <c r="O18" s="12">
        <f t="shared" si="10"/>
        <v>478</v>
      </c>
      <c r="P18" s="12">
        <f t="shared" si="11"/>
        <v>20237.188215</v>
      </c>
      <c r="Q18" s="12">
        <f t="shared" si="12"/>
        <v>-4</v>
      </c>
      <c r="R18" s="12">
        <f t="shared" si="13"/>
        <v>679.724814999998</v>
      </c>
      <c r="S18" s="12">
        <f t="shared" si="14"/>
        <v>-4</v>
      </c>
      <c r="T18" s="12">
        <f t="shared" si="15"/>
        <v>679.724814999998</v>
      </c>
      <c r="U18" s="19">
        <f t="shared" si="16"/>
        <v>-0.829875518672199</v>
      </c>
      <c r="V18" s="19">
        <f t="shared" si="17"/>
        <v>3.47552645809884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482</v>
      </c>
      <c r="AJ18" s="47">
        <v>19790.688215</v>
      </c>
      <c r="AK18" s="47">
        <v>482</v>
      </c>
      <c r="AL18" s="47">
        <v>19790.688215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431</v>
      </c>
      <c r="D19" s="12">
        <v>15266.161862</v>
      </c>
      <c r="E19" s="12">
        <f t="shared" si="1"/>
        <v>8</v>
      </c>
      <c r="F19" s="12">
        <f t="shared" si="2"/>
        <v>245.15639</v>
      </c>
      <c r="G19" s="12">
        <f t="shared" si="3"/>
        <v>-1</v>
      </c>
      <c r="H19" s="12">
        <f t="shared" si="4"/>
        <v>635.815490000001</v>
      </c>
      <c r="I19" s="12">
        <f t="shared" si="5"/>
        <v>-1</v>
      </c>
      <c r="J19" s="12">
        <f t="shared" si="6"/>
        <v>635.815490000001</v>
      </c>
      <c r="K19" s="12">
        <f t="shared" si="18"/>
        <v>-33</v>
      </c>
      <c r="L19" s="12">
        <f t="shared" si="7"/>
        <v>-167.164509999999</v>
      </c>
      <c r="M19" s="19">
        <f t="shared" si="8"/>
        <v>-0.231481481481481</v>
      </c>
      <c r="N19" s="19">
        <f t="shared" si="9"/>
        <v>4.34586764956463</v>
      </c>
      <c r="O19" s="12">
        <f t="shared" si="10"/>
        <v>433</v>
      </c>
      <c r="P19" s="12">
        <f t="shared" si="11"/>
        <v>15282.459962</v>
      </c>
      <c r="Q19" s="12">
        <f t="shared" si="12"/>
        <v>1</v>
      </c>
      <c r="R19" s="12">
        <f t="shared" si="13"/>
        <v>652.113590000001</v>
      </c>
      <c r="S19" s="12">
        <f t="shared" si="14"/>
        <v>1</v>
      </c>
      <c r="T19" s="12">
        <f t="shared" si="15"/>
        <v>652.113590000001</v>
      </c>
      <c r="U19" s="19">
        <f t="shared" si="16"/>
        <v>0.231481481481481</v>
      </c>
      <c r="V19" s="19">
        <f t="shared" si="17"/>
        <v>4.45726692601096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423</v>
      </c>
      <c r="AJ19" s="47">
        <v>15021.005472</v>
      </c>
      <c r="AK19" s="47">
        <v>423</v>
      </c>
      <c r="AL19" s="47">
        <v>15021.005472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649</v>
      </c>
      <c r="D20" s="12">
        <v>19456.74233</v>
      </c>
      <c r="E20" s="12">
        <f t="shared" si="1"/>
        <v>1</v>
      </c>
      <c r="F20" s="12">
        <f t="shared" si="2"/>
        <v>-21.6316669999978</v>
      </c>
      <c r="G20" s="12">
        <f t="shared" si="3"/>
        <v>38</v>
      </c>
      <c r="H20" s="12">
        <f t="shared" si="4"/>
        <v>1438.024726</v>
      </c>
      <c r="I20" s="12">
        <f t="shared" si="5"/>
        <v>38</v>
      </c>
      <c r="J20" s="12">
        <f t="shared" si="6"/>
        <v>1438.024726</v>
      </c>
      <c r="K20" s="12">
        <f t="shared" si="18"/>
        <v>-43</v>
      </c>
      <c r="L20" s="12">
        <f t="shared" si="7"/>
        <v>-778.625274</v>
      </c>
      <c r="M20" s="19">
        <f t="shared" si="8"/>
        <v>6.21931260229133</v>
      </c>
      <c r="N20" s="19">
        <f t="shared" si="9"/>
        <v>7.98072736142316</v>
      </c>
      <c r="O20" s="12">
        <f t="shared" si="10"/>
        <v>650</v>
      </c>
      <c r="P20" s="12">
        <f t="shared" si="11"/>
        <v>19486.24233</v>
      </c>
      <c r="Q20" s="12">
        <f t="shared" si="12"/>
        <v>39</v>
      </c>
      <c r="R20" s="12">
        <f t="shared" si="13"/>
        <v>1467.524726</v>
      </c>
      <c r="S20" s="12">
        <f t="shared" si="14"/>
        <v>39</v>
      </c>
      <c r="T20" s="12">
        <f t="shared" si="15"/>
        <v>1467.524726</v>
      </c>
      <c r="U20" s="19">
        <f t="shared" si="16"/>
        <v>6.38297872340426</v>
      </c>
      <c r="V20" s="19">
        <f t="shared" si="17"/>
        <v>8.14444600471579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648</v>
      </c>
      <c r="AJ20" s="47">
        <v>19478.373997</v>
      </c>
      <c r="AK20" s="47">
        <v>648</v>
      </c>
      <c r="AL20" s="47">
        <v>19478.373997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430</v>
      </c>
      <c r="D21" s="12">
        <v>15050.725908</v>
      </c>
      <c r="E21" s="12">
        <f t="shared" si="1"/>
        <v>-2</v>
      </c>
      <c r="F21" s="12">
        <f t="shared" si="2"/>
        <v>-90.6432019999993</v>
      </c>
      <c r="G21" s="12">
        <f t="shared" si="3"/>
        <v>-8</v>
      </c>
      <c r="H21" s="12">
        <f t="shared" si="4"/>
        <v>-373.738364999999</v>
      </c>
      <c r="I21" s="12">
        <f t="shared" si="5"/>
        <v>-8</v>
      </c>
      <c r="J21" s="12">
        <f t="shared" si="6"/>
        <v>-373.738364999999</v>
      </c>
      <c r="K21" s="12">
        <f t="shared" si="18"/>
        <v>-65</v>
      </c>
      <c r="L21" s="12">
        <f t="shared" si="7"/>
        <v>-1383.638365</v>
      </c>
      <c r="M21" s="19">
        <f t="shared" si="8"/>
        <v>-1.82648401826484</v>
      </c>
      <c r="N21" s="19">
        <f t="shared" si="9"/>
        <v>-2.42302331144308</v>
      </c>
      <c r="O21" s="12">
        <f t="shared" si="10"/>
        <v>430</v>
      </c>
      <c r="P21" s="12">
        <f t="shared" si="11"/>
        <v>15050.725908</v>
      </c>
      <c r="Q21" s="12">
        <f t="shared" si="12"/>
        <v>-8</v>
      </c>
      <c r="R21" s="12">
        <f t="shared" si="13"/>
        <v>-373.738364999999</v>
      </c>
      <c r="S21" s="30">
        <f t="shared" si="14"/>
        <v>-8</v>
      </c>
      <c r="T21" s="12">
        <f t="shared" si="15"/>
        <v>-373.738364999999</v>
      </c>
      <c r="U21" s="19">
        <f t="shared" si="16"/>
        <v>-1.82648401826484</v>
      </c>
      <c r="V21" s="19">
        <f t="shared" si="17"/>
        <v>-2.42302331144308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432</v>
      </c>
      <c r="AJ21" s="47">
        <v>15141.36911</v>
      </c>
      <c r="AK21" s="47">
        <v>432</v>
      </c>
      <c r="AL21" s="47">
        <v>15141.36911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731</v>
      </c>
      <c r="D22" s="12">
        <v>25555.917182</v>
      </c>
      <c r="E22" s="12">
        <f t="shared" si="1"/>
        <v>3</v>
      </c>
      <c r="F22" s="12">
        <f t="shared" si="2"/>
        <v>31.9125000000022</v>
      </c>
      <c r="G22" s="12">
        <f t="shared" si="3"/>
        <v>57</v>
      </c>
      <c r="H22" s="12">
        <f t="shared" si="4"/>
        <v>2211.348214</v>
      </c>
      <c r="I22" s="12">
        <f t="shared" si="5"/>
        <v>57</v>
      </c>
      <c r="J22" s="12">
        <f t="shared" si="6"/>
        <v>2211.348214</v>
      </c>
      <c r="K22" s="12">
        <f t="shared" si="18"/>
        <v>-5</v>
      </c>
      <c r="L22" s="12">
        <f t="shared" si="7"/>
        <v>932.428214000001</v>
      </c>
      <c r="M22" s="19">
        <f t="shared" si="8"/>
        <v>8.45697329376855</v>
      </c>
      <c r="N22" s="19">
        <f t="shared" si="9"/>
        <v>9.47264529506305</v>
      </c>
      <c r="O22" s="12">
        <f t="shared" si="10"/>
        <v>732</v>
      </c>
      <c r="P22" s="12">
        <f t="shared" si="11"/>
        <v>25650.917182</v>
      </c>
      <c r="Q22" s="12">
        <f t="shared" si="12"/>
        <v>58</v>
      </c>
      <c r="R22" s="12">
        <f t="shared" si="13"/>
        <v>2306.348214</v>
      </c>
      <c r="S22" s="12">
        <f t="shared" si="14"/>
        <v>58</v>
      </c>
      <c r="T22" s="12">
        <f t="shared" si="15"/>
        <v>2306.348214</v>
      </c>
      <c r="U22" s="19">
        <f t="shared" si="16"/>
        <v>8.6053412462908</v>
      </c>
      <c r="V22" s="19">
        <f t="shared" si="17"/>
        <v>9.87959219620405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728</v>
      </c>
      <c r="AJ22" s="47">
        <v>25524.004682</v>
      </c>
      <c r="AK22" s="47">
        <v>728</v>
      </c>
      <c r="AL22" s="47">
        <v>25524.004682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698</v>
      </c>
      <c r="D23" s="12">
        <v>25134.457315</v>
      </c>
      <c r="E23" s="12">
        <f t="shared" si="1"/>
        <v>12</v>
      </c>
      <c r="F23" s="12">
        <f t="shared" si="2"/>
        <v>-151.049999999999</v>
      </c>
      <c r="G23" s="12">
        <f t="shared" si="3"/>
        <v>-2</v>
      </c>
      <c r="H23" s="12">
        <f t="shared" si="4"/>
        <v>-885.731271000001</v>
      </c>
      <c r="I23" s="12">
        <f t="shared" si="5"/>
        <v>-2</v>
      </c>
      <c r="J23" s="12">
        <f t="shared" si="6"/>
        <v>-885.731271000001</v>
      </c>
      <c r="K23" s="12">
        <f t="shared" si="18"/>
        <v>-44</v>
      </c>
      <c r="L23" s="12">
        <f t="shared" si="7"/>
        <v>-1414.141271</v>
      </c>
      <c r="M23" s="19">
        <f t="shared" si="8"/>
        <v>-0.285714285714286</v>
      </c>
      <c r="N23" s="19">
        <f t="shared" si="9"/>
        <v>-3.40401557072712</v>
      </c>
      <c r="O23" s="12">
        <f t="shared" si="10"/>
        <v>698</v>
      </c>
      <c r="P23" s="12">
        <f t="shared" si="11"/>
        <v>25134.457315</v>
      </c>
      <c r="Q23" s="12">
        <f t="shared" si="12"/>
        <v>-2</v>
      </c>
      <c r="R23" s="12">
        <f t="shared" si="13"/>
        <v>-885.731271000001</v>
      </c>
      <c r="S23" s="12">
        <f t="shared" si="14"/>
        <v>-2</v>
      </c>
      <c r="T23" s="12">
        <f t="shared" si="15"/>
        <v>-885.731271000001</v>
      </c>
      <c r="U23" s="19">
        <f t="shared" si="16"/>
        <v>-0.285714285714286</v>
      </c>
      <c r="V23" s="19">
        <f t="shared" si="17"/>
        <v>-3.40401557072712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686</v>
      </c>
      <c r="AJ23" s="47">
        <v>25285.507315</v>
      </c>
      <c r="AK23" s="47">
        <v>686</v>
      </c>
      <c r="AL23" s="47">
        <v>25285.507315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484</v>
      </c>
      <c r="D24" s="12">
        <v>15567.023636</v>
      </c>
      <c r="E24" s="12">
        <f t="shared" si="1"/>
        <v>-2</v>
      </c>
      <c r="F24" s="12">
        <f t="shared" si="2"/>
        <v>-2.14636400000018</v>
      </c>
      <c r="G24" s="12">
        <f t="shared" si="3"/>
        <v>13</v>
      </c>
      <c r="H24" s="12">
        <f t="shared" si="4"/>
        <v>978.623636</v>
      </c>
      <c r="I24" s="12">
        <f t="shared" si="5"/>
        <v>13</v>
      </c>
      <c r="J24" s="12">
        <f t="shared" si="6"/>
        <v>978.623636</v>
      </c>
      <c r="K24" s="12">
        <f t="shared" si="18"/>
        <v>-38</v>
      </c>
      <c r="L24" s="12">
        <f t="shared" si="7"/>
        <v>160.633636</v>
      </c>
      <c r="M24" s="19">
        <f t="shared" si="8"/>
        <v>2.76008492569002</v>
      </c>
      <c r="N24" s="19">
        <f t="shared" si="9"/>
        <v>6.70823144416112</v>
      </c>
      <c r="O24" s="12">
        <f t="shared" si="10"/>
        <v>484</v>
      </c>
      <c r="P24" s="12">
        <f t="shared" si="11"/>
        <v>15567.023636</v>
      </c>
      <c r="Q24" s="12">
        <f t="shared" si="12"/>
        <v>13</v>
      </c>
      <c r="R24" s="12">
        <f t="shared" si="13"/>
        <v>978.623636</v>
      </c>
      <c r="S24" s="30">
        <f t="shared" si="14"/>
        <v>13</v>
      </c>
      <c r="T24" s="12">
        <f t="shared" si="15"/>
        <v>978.623636</v>
      </c>
      <c r="U24" s="19">
        <f t="shared" si="16"/>
        <v>2.76008492569002</v>
      </c>
      <c r="V24" s="19">
        <f t="shared" si="17"/>
        <v>6.70823144416112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486</v>
      </c>
      <c r="AJ24" s="47">
        <v>15569.17</v>
      </c>
      <c r="AK24" s="47">
        <v>486</v>
      </c>
      <c r="AL24" s="47">
        <v>15569.17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499</v>
      </c>
      <c r="D25" s="12">
        <v>16543.412099</v>
      </c>
      <c r="E25" s="12">
        <f t="shared" si="1"/>
        <v>5</v>
      </c>
      <c r="F25" s="12">
        <f t="shared" si="2"/>
        <v>895.200000000001</v>
      </c>
      <c r="G25" s="12">
        <f t="shared" si="3"/>
        <v>17</v>
      </c>
      <c r="H25" s="12">
        <f t="shared" si="4"/>
        <v>416.535083000001</v>
      </c>
      <c r="I25" s="12">
        <f t="shared" si="5"/>
        <v>17</v>
      </c>
      <c r="J25" s="12">
        <f t="shared" si="6"/>
        <v>416.535083000001</v>
      </c>
      <c r="K25" s="12">
        <f t="shared" si="18"/>
        <v>-8</v>
      </c>
      <c r="L25" s="12">
        <f t="shared" si="7"/>
        <v>-464.644916999999</v>
      </c>
      <c r="M25" s="19">
        <f t="shared" si="8"/>
        <v>3.52697095435685</v>
      </c>
      <c r="N25" s="19">
        <f t="shared" si="9"/>
        <v>2.58286264964223</v>
      </c>
      <c r="O25" s="12">
        <f t="shared" si="10"/>
        <v>500</v>
      </c>
      <c r="P25" s="12">
        <f t="shared" si="11"/>
        <v>16548.412099</v>
      </c>
      <c r="Q25" s="12">
        <f t="shared" si="12"/>
        <v>18</v>
      </c>
      <c r="R25" s="12">
        <f t="shared" si="13"/>
        <v>421.535083000001</v>
      </c>
      <c r="S25" s="12">
        <f t="shared" si="14"/>
        <v>18</v>
      </c>
      <c r="T25" s="12">
        <f t="shared" si="15"/>
        <v>421.535083000001</v>
      </c>
      <c r="U25" s="19">
        <f t="shared" si="16"/>
        <v>3.7344398340249</v>
      </c>
      <c r="V25" s="19">
        <f t="shared" si="17"/>
        <v>2.61386679257107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494</v>
      </c>
      <c r="AJ25" s="47">
        <v>15648.212099</v>
      </c>
      <c r="AK25" s="47">
        <v>494</v>
      </c>
      <c r="AL25" s="47">
        <v>15648.212099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266</v>
      </c>
      <c r="D26" s="12">
        <v>10280.685685</v>
      </c>
      <c r="E26" s="12">
        <f t="shared" si="1"/>
        <v>-1</v>
      </c>
      <c r="F26" s="12">
        <f t="shared" si="2"/>
        <v>-22.9911799999991</v>
      </c>
      <c r="G26" s="12">
        <f t="shared" si="3"/>
        <v>-11</v>
      </c>
      <c r="H26" s="12">
        <f t="shared" si="4"/>
        <v>-541.739869999999</v>
      </c>
      <c r="I26" s="12">
        <f t="shared" si="5"/>
        <v>-11</v>
      </c>
      <c r="J26" s="12">
        <f t="shared" si="6"/>
        <v>-541.739869999999</v>
      </c>
      <c r="K26" s="12">
        <f t="shared" si="18"/>
        <v>-31</v>
      </c>
      <c r="L26" s="12">
        <f t="shared" si="7"/>
        <v>-1245.74987</v>
      </c>
      <c r="M26" s="19">
        <f t="shared" si="8"/>
        <v>-3.97111913357401</v>
      </c>
      <c r="N26" s="19">
        <f t="shared" si="9"/>
        <v>-5.00571583742347</v>
      </c>
      <c r="O26" s="12">
        <f t="shared" si="10"/>
        <v>266</v>
      </c>
      <c r="P26" s="12">
        <f t="shared" si="11"/>
        <v>10280.685685</v>
      </c>
      <c r="Q26" s="12">
        <f t="shared" si="12"/>
        <v>-11</v>
      </c>
      <c r="R26" s="12">
        <f t="shared" si="13"/>
        <v>-541.739869999999</v>
      </c>
      <c r="S26" s="12">
        <f t="shared" si="14"/>
        <v>-11</v>
      </c>
      <c r="T26" s="12">
        <f t="shared" si="15"/>
        <v>-541.739869999999</v>
      </c>
      <c r="U26" s="19">
        <f t="shared" si="16"/>
        <v>-3.97111913357401</v>
      </c>
      <c r="V26" s="19">
        <f t="shared" si="17"/>
        <v>-5.00571583742347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267</v>
      </c>
      <c r="AJ26" s="47">
        <v>10303.676865</v>
      </c>
      <c r="AK26" s="47">
        <v>267</v>
      </c>
      <c r="AL26" s="47">
        <v>10303.676865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343</v>
      </c>
      <c r="D27" s="12">
        <v>11091.935435</v>
      </c>
      <c r="E27" s="12">
        <f t="shared" si="1"/>
        <v>10</v>
      </c>
      <c r="F27" s="12">
        <f t="shared" si="2"/>
        <v>144.141830999999</v>
      </c>
      <c r="G27" s="12">
        <f t="shared" si="3"/>
        <v>15</v>
      </c>
      <c r="H27" s="12">
        <f t="shared" si="4"/>
        <v>-326.529525</v>
      </c>
      <c r="I27" s="12">
        <f t="shared" si="5"/>
        <v>15</v>
      </c>
      <c r="J27" s="12">
        <f t="shared" si="6"/>
        <v>-326.529525</v>
      </c>
      <c r="K27" s="12">
        <f t="shared" si="18"/>
        <v>-17</v>
      </c>
      <c r="L27" s="12">
        <f t="shared" si="7"/>
        <v>-950.799525</v>
      </c>
      <c r="M27" s="19">
        <f t="shared" si="8"/>
        <v>4.57317073170732</v>
      </c>
      <c r="N27" s="19">
        <f t="shared" si="9"/>
        <v>-2.85966218877813</v>
      </c>
      <c r="O27" s="12">
        <f t="shared" si="10"/>
        <v>344</v>
      </c>
      <c r="P27" s="12">
        <f t="shared" si="11"/>
        <v>11095.893635</v>
      </c>
      <c r="Q27" s="12">
        <f t="shared" si="12"/>
        <v>16</v>
      </c>
      <c r="R27" s="12">
        <f t="shared" si="13"/>
        <v>-322.571325000001</v>
      </c>
      <c r="S27" s="12">
        <f t="shared" si="14"/>
        <v>16</v>
      </c>
      <c r="T27" s="12">
        <f t="shared" si="15"/>
        <v>-322.571325000001</v>
      </c>
      <c r="U27" s="19">
        <f t="shared" si="16"/>
        <v>4.8780487804878</v>
      </c>
      <c r="V27" s="19">
        <f t="shared" si="17"/>
        <v>-2.82499728404825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333</v>
      </c>
      <c r="AJ27" s="47">
        <v>10947.793604</v>
      </c>
      <c r="AK27" s="47">
        <v>333</v>
      </c>
      <c r="AL27" s="47">
        <v>10947.793604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372</v>
      </c>
      <c r="D28" s="12">
        <v>20053.276756</v>
      </c>
      <c r="E28" s="12">
        <f t="shared" si="1"/>
        <v>1</v>
      </c>
      <c r="F28" s="12">
        <f t="shared" si="2"/>
        <v>522.399999999998</v>
      </c>
      <c r="G28" s="12">
        <f t="shared" si="3"/>
        <v>10</v>
      </c>
      <c r="H28" s="12">
        <f t="shared" si="4"/>
        <v>1.46571599999879</v>
      </c>
      <c r="I28" s="12">
        <f t="shared" si="5"/>
        <v>10</v>
      </c>
      <c r="J28" s="12">
        <f t="shared" si="6"/>
        <v>1.46571599999879</v>
      </c>
      <c r="K28" s="12">
        <f t="shared" si="18"/>
        <v>-30</v>
      </c>
      <c r="L28" s="12">
        <f t="shared" si="7"/>
        <v>-879.264284000001</v>
      </c>
      <c r="M28" s="19">
        <f t="shared" si="8"/>
        <v>2.76243093922652</v>
      </c>
      <c r="N28" s="19">
        <f t="shared" si="9"/>
        <v>0.00730964398714378</v>
      </c>
      <c r="O28" s="12">
        <f t="shared" si="10"/>
        <v>372</v>
      </c>
      <c r="P28" s="12">
        <f t="shared" si="11"/>
        <v>20053.276756</v>
      </c>
      <c r="Q28" s="12">
        <f t="shared" si="12"/>
        <v>10</v>
      </c>
      <c r="R28" s="12">
        <f t="shared" si="13"/>
        <v>1.46571599999879</v>
      </c>
      <c r="S28" s="12">
        <f t="shared" si="14"/>
        <v>10</v>
      </c>
      <c r="T28" s="12">
        <f t="shared" si="15"/>
        <v>1.46571599999879</v>
      </c>
      <c r="U28" s="19">
        <f t="shared" si="16"/>
        <v>2.76243093922652</v>
      </c>
      <c r="V28" s="19">
        <f t="shared" si="17"/>
        <v>0.00730964398714378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371</v>
      </c>
      <c r="AJ28" s="47">
        <v>19530.876756</v>
      </c>
      <c r="AK28" s="47">
        <v>371</v>
      </c>
      <c r="AL28" s="47">
        <v>19530.876756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11903.961084</v>
      </c>
      <c r="E29" s="12">
        <f t="shared" si="1"/>
        <v>1</v>
      </c>
      <c r="F29" s="12">
        <f t="shared" si="2"/>
        <v>715.341611</v>
      </c>
      <c r="G29" s="12">
        <f t="shared" si="3"/>
        <v>0</v>
      </c>
      <c r="H29" s="12">
        <f t="shared" si="4"/>
        <v>-90.7015240000001</v>
      </c>
      <c r="I29" s="12">
        <f t="shared" si="5"/>
        <v>0</v>
      </c>
      <c r="J29" s="12">
        <f t="shared" si="6"/>
        <v>-90.7015240000001</v>
      </c>
      <c r="K29" s="12">
        <f t="shared" si="18"/>
        <v>-35</v>
      </c>
      <c r="L29" s="12">
        <f t="shared" si="7"/>
        <v>-638.411524000001</v>
      </c>
      <c r="M29" s="19">
        <f t="shared" si="8"/>
        <v>0</v>
      </c>
      <c r="N29" s="19">
        <f t="shared" si="9"/>
        <v>-0.756182370144413</v>
      </c>
      <c r="O29" s="12">
        <f t="shared" si="10"/>
        <v>329</v>
      </c>
      <c r="P29" s="12">
        <f t="shared" si="11"/>
        <v>12403.961084</v>
      </c>
      <c r="Q29" s="12">
        <f t="shared" si="12"/>
        <v>1</v>
      </c>
      <c r="R29" s="12">
        <f t="shared" si="13"/>
        <v>409.298476</v>
      </c>
      <c r="S29" s="12">
        <f t="shared" si="14"/>
        <v>1</v>
      </c>
      <c r="T29" s="12">
        <f t="shared" si="15"/>
        <v>409.298476</v>
      </c>
      <c r="U29" s="19">
        <f t="shared" si="16"/>
        <v>0.304878048780488</v>
      </c>
      <c r="V29" s="19">
        <f t="shared" si="17"/>
        <v>3.41233838229858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327</v>
      </c>
      <c r="AJ29" s="47">
        <v>11188.619473</v>
      </c>
      <c r="AK29" s="47">
        <v>328</v>
      </c>
      <c r="AL29" s="47">
        <v>11688.619473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9975.98522500001</v>
      </c>
      <c r="E30" s="12">
        <f t="shared" si="1"/>
        <v>-4</v>
      </c>
      <c r="F30" s="12">
        <f t="shared" si="2"/>
        <v>-42.6576699999914</v>
      </c>
      <c r="G30" s="12">
        <f t="shared" si="3"/>
        <v>36</v>
      </c>
      <c r="H30" s="12">
        <f t="shared" si="4"/>
        <v>856.74707500001</v>
      </c>
      <c r="I30" s="12">
        <f t="shared" si="5"/>
        <v>36</v>
      </c>
      <c r="J30" s="12">
        <f t="shared" si="6"/>
        <v>856.74707500001</v>
      </c>
      <c r="K30" s="12">
        <f t="shared" si="18"/>
        <v>-59</v>
      </c>
      <c r="L30" s="12">
        <f t="shared" si="7"/>
        <v>-163.39292499999</v>
      </c>
      <c r="M30" s="19">
        <f t="shared" si="8"/>
        <v>11.1455108359133</v>
      </c>
      <c r="N30" s="19">
        <f t="shared" si="9"/>
        <v>9.39494134167349</v>
      </c>
      <c r="O30" s="12">
        <f t="shared" si="10"/>
        <v>361</v>
      </c>
      <c r="P30" s="12">
        <f t="shared" si="11"/>
        <v>10010.585225</v>
      </c>
      <c r="Q30" s="12">
        <f t="shared" si="12"/>
        <v>38</v>
      </c>
      <c r="R30" s="12">
        <f t="shared" si="13"/>
        <v>891.347075000011</v>
      </c>
      <c r="S30" s="12">
        <f t="shared" si="14"/>
        <v>38</v>
      </c>
      <c r="T30" s="12">
        <f t="shared" si="15"/>
        <v>891.347075000011</v>
      </c>
      <c r="U30" s="19">
        <f t="shared" si="16"/>
        <v>11.7647058823529</v>
      </c>
      <c r="V30" s="19">
        <f t="shared" si="17"/>
        <v>9.77435900168931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363</v>
      </c>
      <c r="AJ30" s="47">
        <v>10018.642895</v>
      </c>
      <c r="AK30" s="47">
        <v>363</v>
      </c>
      <c r="AL30" s="47">
        <v>10018.642895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364</v>
      </c>
      <c r="D31" s="12">
        <v>10662.484994</v>
      </c>
      <c r="E31" s="12">
        <f t="shared" si="1"/>
        <v>3</v>
      </c>
      <c r="F31" s="12">
        <f t="shared" si="2"/>
        <v>153.377326</v>
      </c>
      <c r="G31" s="12">
        <f t="shared" si="3"/>
        <v>-1</v>
      </c>
      <c r="H31" s="12">
        <f t="shared" si="4"/>
        <v>-419.024740999999</v>
      </c>
      <c r="I31" s="12">
        <f t="shared" si="5"/>
        <v>-1</v>
      </c>
      <c r="J31" s="12">
        <f t="shared" si="6"/>
        <v>-419.024740999999</v>
      </c>
      <c r="K31" s="12">
        <f t="shared" si="18"/>
        <v>-49</v>
      </c>
      <c r="L31" s="12">
        <f t="shared" si="7"/>
        <v>-928.994741</v>
      </c>
      <c r="M31" s="19">
        <f t="shared" si="8"/>
        <v>-0.273972602739726</v>
      </c>
      <c r="N31" s="19">
        <f t="shared" si="9"/>
        <v>-3.78129651121945</v>
      </c>
      <c r="O31" s="12">
        <f t="shared" si="10"/>
        <v>366</v>
      </c>
      <c r="P31" s="12">
        <f t="shared" si="11"/>
        <v>10680.257694</v>
      </c>
      <c r="Q31" s="12">
        <f t="shared" si="12"/>
        <v>1</v>
      </c>
      <c r="R31" s="12">
        <f t="shared" si="13"/>
        <v>-401.252041</v>
      </c>
      <c r="S31" s="12">
        <f t="shared" si="14"/>
        <v>1</v>
      </c>
      <c r="T31" s="12">
        <f t="shared" si="15"/>
        <v>-401.252041</v>
      </c>
      <c r="U31" s="19">
        <f t="shared" si="16"/>
        <v>0.273972602739726</v>
      </c>
      <c r="V31" s="19">
        <f t="shared" si="17"/>
        <v>-3.62091493483672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361</v>
      </c>
      <c r="AJ31" s="47">
        <v>10509.107668</v>
      </c>
      <c r="AK31" s="47">
        <v>361</v>
      </c>
      <c r="AL31" s="47">
        <v>10509.107668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518</v>
      </c>
      <c r="D32" s="12">
        <v>13161.929772</v>
      </c>
      <c r="E32" s="12">
        <f t="shared" si="1"/>
        <v>1</v>
      </c>
      <c r="F32" s="12">
        <f t="shared" si="2"/>
        <v>432.6</v>
      </c>
      <c r="G32" s="12">
        <f t="shared" si="3"/>
        <v>18</v>
      </c>
      <c r="H32" s="12">
        <f t="shared" si="4"/>
        <v>711.26427</v>
      </c>
      <c r="I32" s="12">
        <f t="shared" si="5"/>
        <v>18</v>
      </c>
      <c r="J32" s="12">
        <f t="shared" si="6"/>
        <v>711.26427</v>
      </c>
      <c r="K32" s="12">
        <f t="shared" si="18"/>
        <v>-42</v>
      </c>
      <c r="L32" s="12">
        <f t="shared" si="7"/>
        <v>359.374270000001</v>
      </c>
      <c r="M32" s="19">
        <f t="shared" si="8"/>
        <v>3.6</v>
      </c>
      <c r="N32" s="19">
        <f t="shared" si="9"/>
        <v>5.71266065967114</v>
      </c>
      <c r="O32" s="12">
        <f t="shared" si="10"/>
        <v>518</v>
      </c>
      <c r="P32" s="12">
        <f t="shared" si="11"/>
        <v>13161.929772</v>
      </c>
      <c r="Q32" s="12">
        <f t="shared" si="12"/>
        <v>18</v>
      </c>
      <c r="R32" s="12">
        <f t="shared" si="13"/>
        <v>711.26427</v>
      </c>
      <c r="S32" s="30">
        <f t="shared" si="14"/>
        <v>18</v>
      </c>
      <c r="T32" s="12">
        <f t="shared" si="15"/>
        <v>711.26427</v>
      </c>
      <c r="U32" s="19">
        <f t="shared" si="16"/>
        <v>3.6</v>
      </c>
      <c r="V32" s="19">
        <f t="shared" si="17"/>
        <v>5.71266065967114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517</v>
      </c>
      <c r="AJ32" s="47">
        <v>12729.329772</v>
      </c>
      <c r="AK32" s="47">
        <v>517</v>
      </c>
      <c r="AL32" s="47">
        <v>12729.329772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2126</v>
      </c>
      <c r="D33" s="12">
        <v>96818.565242</v>
      </c>
      <c r="E33" s="12">
        <f t="shared" si="1"/>
        <v>2</v>
      </c>
      <c r="F33" s="12">
        <f t="shared" si="2"/>
        <v>2195.948152</v>
      </c>
      <c r="G33" s="12">
        <f t="shared" si="3"/>
        <v>-14</v>
      </c>
      <c r="H33" s="12">
        <f t="shared" si="4"/>
        <v>-1908.26460199991</v>
      </c>
      <c r="I33" s="12">
        <f t="shared" si="5"/>
        <v>-14</v>
      </c>
      <c r="J33" s="12">
        <f t="shared" si="6"/>
        <v>-1908.26460199991</v>
      </c>
      <c r="K33" s="12">
        <f t="shared" si="18"/>
        <v>-45</v>
      </c>
      <c r="L33" s="12">
        <f t="shared" si="7"/>
        <v>-567.344601999908</v>
      </c>
      <c r="M33" s="19">
        <f t="shared" si="8"/>
        <v>-0.654205607476636</v>
      </c>
      <c r="N33" s="19">
        <f t="shared" si="9"/>
        <v>-1.93287336888584</v>
      </c>
      <c r="O33" s="12">
        <f t="shared" si="10"/>
        <v>2131</v>
      </c>
      <c r="P33" s="12">
        <f t="shared" si="11"/>
        <v>96948.866642</v>
      </c>
      <c r="Q33" s="12">
        <f t="shared" si="12"/>
        <v>-9</v>
      </c>
      <c r="R33" s="12">
        <f t="shared" si="13"/>
        <v>-1777.96320199991</v>
      </c>
      <c r="S33" s="30">
        <f t="shared" si="14"/>
        <v>-9</v>
      </c>
      <c r="T33" s="12">
        <f t="shared" si="15"/>
        <v>-1777.96320199991</v>
      </c>
      <c r="U33" s="19">
        <f t="shared" si="16"/>
        <v>-0.420560747663551</v>
      </c>
      <c r="V33" s="19">
        <f t="shared" si="17"/>
        <v>-1.80089161660443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2124</v>
      </c>
      <c r="AJ33" s="47">
        <v>94622.61709</v>
      </c>
      <c r="AK33" s="47">
        <v>2124</v>
      </c>
      <c r="AL33" s="47">
        <v>94622.61709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621</v>
      </c>
      <c r="D34" s="12">
        <v>28028.779274</v>
      </c>
      <c r="E34" s="12">
        <f t="shared" si="1"/>
        <v>-1</v>
      </c>
      <c r="F34" s="12">
        <f t="shared" si="2"/>
        <v>-90.2683909999978</v>
      </c>
      <c r="G34" s="12">
        <f t="shared" si="3"/>
        <v>12</v>
      </c>
      <c r="H34" s="12">
        <f t="shared" si="4"/>
        <v>748.075464000001</v>
      </c>
      <c r="I34" s="12">
        <f t="shared" si="5"/>
        <v>12</v>
      </c>
      <c r="J34" s="12">
        <f t="shared" si="6"/>
        <v>748.075464000001</v>
      </c>
      <c r="K34" s="12">
        <f t="shared" si="18"/>
        <v>-20</v>
      </c>
      <c r="L34" s="12">
        <f t="shared" si="7"/>
        <v>-507.444535999999</v>
      </c>
      <c r="M34" s="19">
        <f t="shared" si="8"/>
        <v>1.97044334975369</v>
      </c>
      <c r="N34" s="19">
        <f t="shared" si="9"/>
        <v>2.74214136559698</v>
      </c>
      <c r="O34" s="12">
        <f t="shared" si="10"/>
        <v>621</v>
      </c>
      <c r="P34" s="12">
        <f t="shared" si="11"/>
        <v>28028.779274</v>
      </c>
      <c r="Q34" s="12">
        <f t="shared" si="12"/>
        <v>12</v>
      </c>
      <c r="R34" s="12">
        <f t="shared" si="13"/>
        <v>748.075464000001</v>
      </c>
      <c r="S34" s="12">
        <f t="shared" si="14"/>
        <v>12</v>
      </c>
      <c r="T34" s="12">
        <f t="shared" si="15"/>
        <v>748.075464000001</v>
      </c>
      <c r="U34" s="19">
        <f t="shared" si="16"/>
        <v>1.97044334975369</v>
      </c>
      <c r="V34" s="19">
        <f t="shared" si="17"/>
        <v>2.74214136559698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622</v>
      </c>
      <c r="AJ34" s="47">
        <v>28119.047665</v>
      </c>
      <c r="AK34" s="47">
        <v>622</v>
      </c>
      <c r="AL34" s="47">
        <v>28119.047665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2506</v>
      </c>
      <c r="D35" s="12">
        <v>98501</v>
      </c>
      <c r="E35" s="12">
        <f t="shared" si="1"/>
        <v>15</v>
      </c>
      <c r="F35" s="12">
        <f t="shared" si="2"/>
        <v>1657</v>
      </c>
      <c r="G35" s="12">
        <f t="shared" si="3"/>
        <v>-15</v>
      </c>
      <c r="H35" s="12">
        <f t="shared" si="4"/>
        <v>1097</v>
      </c>
      <c r="I35" s="12">
        <f t="shared" si="5"/>
        <v>-15</v>
      </c>
      <c r="J35" s="12">
        <f t="shared" si="6"/>
        <v>1097</v>
      </c>
      <c r="K35" s="12">
        <f t="shared" si="18"/>
        <v>-138</v>
      </c>
      <c r="L35" s="12">
        <f t="shared" si="7"/>
        <v>-4217</v>
      </c>
      <c r="M35" s="19">
        <f t="shared" si="8"/>
        <v>-0.595001983339944</v>
      </c>
      <c r="N35" s="19">
        <f t="shared" si="9"/>
        <v>1.12623711551887</v>
      </c>
      <c r="O35" s="12">
        <f t="shared" si="10"/>
        <v>2511</v>
      </c>
      <c r="P35" s="12">
        <f t="shared" si="11"/>
        <v>98659.284</v>
      </c>
      <c r="Q35" s="12">
        <f t="shared" si="12"/>
        <v>-10</v>
      </c>
      <c r="R35" s="12">
        <f t="shared" si="13"/>
        <v>1255.284</v>
      </c>
      <c r="S35" s="12">
        <f t="shared" si="14"/>
        <v>-10</v>
      </c>
      <c r="T35" s="12">
        <f t="shared" si="15"/>
        <v>1255.284</v>
      </c>
      <c r="U35" s="19">
        <f t="shared" si="16"/>
        <v>-0.396667988893296</v>
      </c>
      <c r="V35" s="19">
        <f t="shared" si="17"/>
        <v>1.28873968214858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2491</v>
      </c>
      <c r="AJ35" s="47">
        <v>96844</v>
      </c>
      <c r="AK35" s="47">
        <v>2491</v>
      </c>
      <c r="AL35" s="47">
        <v>96844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2531</v>
      </c>
      <c r="D36" s="12">
        <v>83992</v>
      </c>
      <c r="E36" s="12">
        <f t="shared" si="1"/>
        <v>-1</v>
      </c>
      <c r="F36" s="12">
        <f t="shared" si="2"/>
        <v>-22</v>
      </c>
      <c r="G36" s="12">
        <f t="shared" si="3"/>
        <v>-12</v>
      </c>
      <c r="H36" s="12">
        <f t="shared" si="4"/>
        <v>-573</v>
      </c>
      <c r="I36" s="12">
        <f t="shared" si="5"/>
        <v>-12</v>
      </c>
      <c r="J36" s="12">
        <f t="shared" si="6"/>
        <v>-573</v>
      </c>
      <c r="K36" s="12">
        <f t="shared" si="18"/>
        <v>-15</v>
      </c>
      <c r="L36" s="12">
        <f t="shared" si="7"/>
        <v>-579</v>
      </c>
      <c r="M36" s="19">
        <f t="shared" si="8"/>
        <v>-0.471883602044829</v>
      </c>
      <c r="N36" s="19">
        <f t="shared" si="9"/>
        <v>-0.677585289422338</v>
      </c>
      <c r="O36" s="12">
        <f t="shared" si="10"/>
        <v>2531</v>
      </c>
      <c r="P36" s="12">
        <f t="shared" si="11"/>
        <v>83992</v>
      </c>
      <c r="Q36" s="12">
        <f t="shared" si="12"/>
        <v>-12</v>
      </c>
      <c r="R36" s="12">
        <f t="shared" si="13"/>
        <v>-573</v>
      </c>
      <c r="S36" s="12">
        <f t="shared" si="14"/>
        <v>-12</v>
      </c>
      <c r="T36" s="12">
        <f t="shared" si="15"/>
        <v>-573</v>
      </c>
      <c r="U36" s="19">
        <f t="shared" si="16"/>
        <v>-0.471883602044829</v>
      </c>
      <c r="V36" s="19">
        <f t="shared" si="17"/>
        <v>-0.677585289422338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2532</v>
      </c>
      <c r="AJ36" s="47">
        <v>84014</v>
      </c>
      <c r="AK36" s="47">
        <v>2532</v>
      </c>
      <c r="AL36" s="47">
        <v>84014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13703.838856</v>
      </c>
      <c r="E37" s="12">
        <f t="shared" si="1"/>
        <v>0</v>
      </c>
      <c r="F37" s="12">
        <f t="shared" si="2"/>
        <v>317.4</v>
      </c>
      <c r="G37" s="12">
        <f t="shared" si="3"/>
        <v>14</v>
      </c>
      <c r="H37" s="12">
        <f t="shared" si="4"/>
        <v>50.6599999999999</v>
      </c>
      <c r="I37" s="12">
        <f t="shared" si="5"/>
        <v>14</v>
      </c>
      <c r="J37" s="12">
        <f t="shared" si="6"/>
        <v>50.6599999999999</v>
      </c>
      <c r="K37" s="12">
        <f t="shared" si="18"/>
        <v>-30</v>
      </c>
      <c r="L37" s="12">
        <f t="shared" si="7"/>
        <v>-954.95</v>
      </c>
      <c r="M37" s="19">
        <f t="shared" si="8"/>
        <v>4.77815699658703</v>
      </c>
      <c r="N37" s="19">
        <f t="shared" si="9"/>
        <v>0.371049120020404</v>
      </c>
      <c r="O37" s="12">
        <f t="shared" si="10"/>
        <v>307</v>
      </c>
      <c r="P37" s="12">
        <f t="shared" si="11"/>
        <v>13703.838856</v>
      </c>
      <c r="Q37" s="12">
        <f t="shared" si="12"/>
        <v>14</v>
      </c>
      <c r="R37" s="12">
        <f t="shared" si="13"/>
        <v>50.6599999999999</v>
      </c>
      <c r="S37" s="12">
        <f t="shared" si="14"/>
        <v>14</v>
      </c>
      <c r="T37" s="12">
        <f t="shared" si="15"/>
        <v>50.6599999999999</v>
      </c>
      <c r="U37" s="19">
        <f t="shared" si="16"/>
        <v>4.77815699658703</v>
      </c>
      <c r="V37" s="19">
        <f t="shared" si="17"/>
        <v>0.371049120020404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13386.438856</v>
      </c>
      <c r="AK37" s="47">
        <v>307</v>
      </c>
      <c r="AL37" s="47">
        <v>13386.438856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20145.607063</v>
      </c>
      <c r="E38" s="12">
        <f t="shared" si="1"/>
        <v>3</v>
      </c>
      <c r="F38" s="12">
        <f t="shared" si="2"/>
        <v>543.743577999998</v>
      </c>
      <c r="G38" s="12">
        <f t="shared" si="3"/>
        <v>-1</v>
      </c>
      <c r="H38" s="12">
        <f t="shared" si="4"/>
        <v>416.881960999999</v>
      </c>
      <c r="I38" s="12">
        <f t="shared" si="5"/>
        <v>-1</v>
      </c>
      <c r="J38" s="12">
        <f t="shared" si="6"/>
        <v>416.881960999999</v>
      </c>
      <c r="K38" s="12">
        <f t="shared" si="18"/>
        <v>-41</v>
      </c>
      <c r="L38" s="12">
        <f t="shared" si="7"/>
        <v>-602.118039000001</v>
      </c>
      <c r="M38" s="19">
        <f t="shared" si="8"/>
        <v>-0.225225225225225</v>
      </c>
      <c r="N38" s="19">
        <f t="shared" si="9"/>
        <v>2.11307096046332</v>
      </c>
      <c r="O38" s="12">
        <f t="shared" si="10"/>
        <v>443</v>
      </c>
      <c r="P38" s="12">
        <f t="shared" si="11"/>
        <v>20145.607063</v>
      </c>
      <c r="Q38" s="12">
        <f t="shared" si="12"/>
        <v>-1</v>
      </c>
      <c r="R38" s="12">
        <f t="shared" si="13"/>
        <v>416.881960999999</v>
      </c>
      <c r="S38" s="12">
        <f t="shared" si="14"/>
        <v>-1</v>
      </c>
      <c r="T38" s="12">
        <f t="shared" si="15"/>
        <v>416.881960999999</v>
      </c>
      <c r="U38" s="19">
        <f t="shared" si="16"/>
        <v>-0.225225225225225</v>
      </c>
      <c r="V38" s="19">
        <f t="shared" si="17"/>
        <v>2.11307096046332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440</v>
      </c>
      <c r="AJ38" s="47">
        <v>19601.863485</v>
      </c>
      <c r="AK38" s="47">
        <v>440</v>
      </c>
      <c r="AL38" s="47">
        <v>19601.863485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423</v>
      </c>
      <c r="D39" s="12">
        <v>18617.205043</v>
      </c>
      <c r="E39" s="12">
        <f t="shared" si="1"/>
        <v>1</v>
      </c>
      <c r="F39" s="12">
        <f t="shared" si="2"/>
        <v>15.6000000000022</v>
      </c>
      <c r="G39" s="12">
        <f t="shared" si="3"/>
        <v>19</v>
      </c>
      <c r="H39" s="12">
        <f t="shared" si="4"/>
        <v>1058.76656</v>
      </c>
      <c r="I39" s="12">
        <f t="shared" si="5"/>
        <v>19</v>
      </c>
      <c r="J39" s="12">
        <f t="shared" si="6"/>
        <v>1058.76656</v>
      </c>
      <c r="K39" s="12">
        <f t="shared" si="18"/>
        <v>1</v>
      </c>
      <c r="L39" s="12">
        <f t="shared" si="7"/>
        <v>57.5865600000001</v>
      </c>
      <c r="M39" s="19">
        <f t="shared" si="8"/>
        <v>4.7029702970297</v>
      </c>
      <c r="N39" s="19">
        <f t="shared" si="9"/>
        <v>6.02995853546483</v>
      </c>
      <c r="O39" s="12">
        <f t="shared" si="10"/>
        <v>423</v>
      </c>
      <c r="P39" s="12">
        <f t="shared" si="11"/>
        <v>18617.205043</v>
      </c>
      <c r="Q39" s="12">
        <f t="shared" si="12"/>
        <v>19</v>
      </c>
      <c r="R39" s="12">
        <f t="shared" si="13"/>
        <v>1058.76656</v>
      </c>
      <c r="S39" s="12">
        <f t="shared" si="14"/>
        <v>19</v>
      </c>
      <c r="T39" s="12">
        <f t="shared" si="15"/>
        <v>1058.76656</v>
      </c>
      <c r="U39" s="19">
        <f t="shared" si="16"/>
        <v>4.7029702970297</v>
      </c>
      <c r="V39" s="19">
        <f t="shared" si="17"/>
        <v>6.02995853546483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422</v>
      </c>
      <c r="AJ39" s="47">
        <v>18601.605043</v>
      </c>
      <c r="AK39" s="47">
        <v>422</v>
      </c>
      <c r="AL39" s="47">
        <v>18601.605043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335</v>
      </c>
      <c r="D40" s="12">
        <v>432145.884804</v>
      </c>
      <c r="E40" s="12">
        <f t="shared" si="1"/>
        <v>3</v>
      </c>
      <c r="F40" s="12">
        <f t="shared" si="2"/>
        <v>2500</v>
      </c>
      <c r="G40" s="12">
        <f t="shared" si="3"/>
        <v>11</v>
      </c>
      <c r="H40" s="12">
        <f t="shared" si="4"/>
        <v>13514.91</v>
      </c>
      <c r="I40" s="12">
        <f t="shared" si="5"/>
        <v>11</v>
      </c>
      <c r="J40" s="12">
        <f t="shared" si="6"/>
        <v>13514.91</v>
      </c>
      <c r="K40" s="12">
        <f t="shared" si="18"/>
        <v>0</v>
      </c>
      <c r="L40" s="12">
        <f t="shared" si="7"/>
        <v>4291.93999999994</v>
      </c>
      <c r="M40" s="19">
        <f t="shared" si="8"/>
        <v>3.39506172839506</v>
      </c>
      <c r="N40" s="19">
        <f t="shared" si="9"/>
        <v>3.22835882039726</v>
      </c>
      <c r="O40" s="12">
        <f t="shared" si="10"/>
        <v>334</v>
      </c>
      <c r="P40" s="12">
        <f t="shared" si="11"/>
        <v>431645.884804</v>
      </c>
      <c r="Q40" s="12">
        <f t="shared" si="12"/>
        <v>10</v>
      </c>
      <c r="R40" s="12">
        <f t="shared" si="13"/>
        <v>13014.91</v>
      </c>
      <c r="S40" s="12">
        <f t="shared" si="14"/>
        <v>10</v>
      </c>
      <c r="T40" s="12">
        <f t="shared" si="15"/>
        <v>13014.91</v>
      </c>
      <c r="U40" s="19">
        <f t="shared" si="16"/>
        <v>3.08641975308642</v>
      </c>
      <c r="V40" s="19">
        <f t="shared" si="17"/>
        <v>3.1089218866553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332</v>
      </c>
      <c r="AJ40" s="47">
        <v>429645.884804</v>
      </c>
      <c r="AK40" s="47">
        <v>331</v>
      </c>
      <c r="AL40" s="47">
        <v>429145.884804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385</v>
      </c>
      <c r="D41" s="12">
        <v>18348.223534</v>
      </c>
      <c r="E41" s="12">
        <f t="shared" si="1"/>
        <v>34</v>
      </c>
      <c r="F41" s="12">
        <f t="shared" si="2"/>
        <v>825.467607999999</v>
      </c>
      <c r="G41" s="12">
        <f t="shared" si="3"/>
        <v>33</v>
      </c>
      <c r="H41" s="12">
        <f t="shared" si="4"/>
        <v>742.397419000001</v>
      </c>
      <c r="I41" s="12">
        <f t="shared" si="5"/>
        <v>33</v>
      </c>
      <c r="J41" s="12">
        <f t="shared" si="6"/>
        <v>742.397419000001</v>
      </c>
      <c r="K41" s="12">
        <f t="shared" si="18"/>
        <v>-1</v>
      </c>
      <c r="L41" s="12">
        <f t="shared" si="7"/>
        <v>-178.362581000001</v>
      </c>
      <c r="M41" s="19">
        <f t="shared" si="8"/>
        <v>9.375</v>
      </c>
      <c r="N41" s="19">
        <f t="shared" si="9"/>
        <v>4.21677127872736</v>
      </c>
      <c r="O41" s="12">
        <f>C41+W41+AA41-AC41+Y41</f>
        <v>350</v>
      </c>
      <c r="P41" s="12">
        <f>D41+X41+AB41-AD41+Z41</f>
        <v>17512.356034</v>
      </c>
      <c r="Q41" s="12">
        <f t="shared" si="12"/>
        <v>-2</v>
      </c>
      <c r="R41" s="12">
        <f t="shared" si="13"/>
        <v>-93.4700809999995</v>
      </c>
      <c r="S41" s="12">
        <f t="shared" si="14"/>
        <v>-2</v>
      </c>
      <c r="T41" s="12">
        <f t="shared" si="15"/>
        <v>-93.4700809999995</v>
      </c>
      <c r="U41" s="19">
        <f t="shared" si="16"/>
        <v>-0.568181818181818</v>
      </c>
      <c r="V41" s="19">
        <f t="shared" si="17"/>
        <v>-0.530904260836496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17522.755926</v>
      </c>
      <c r="AK41" s="47">
        <v>351</v>
      </c>
      <c r="AL41" s="47">
        <v>17522.755926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1780407</v>
      </c>
      <c r="E42" s="16"/>
      <c r="F42" s="12">
        <v>14960</v>
      </c>
      <c r="G42" s="16"/>
      <c r="H42" s="12">
        <v>42465</v>
      </c>
      <c r="I42" s="16"/>
      <c r="J42" s="12">
        <v>42465</v>
      </c>
      <c r="K42" s="12"/>
      <c r="L42" s="12"/>
      <c r="M42" s="20"/>
      <c r="N42" s="19">
        <v>2.44</v>
      </c>
      <c r="O42" s="12" t="s">
        <v>65</v>
      </c>
      <c r="P42" s="12">
        <v>362139</v>
      </c>
      <c r="Q42" s="16"/>
      <c r="R42" s="12">
        <v>17639</v>
      </c>
      <c r="S42" s="16"/>
      <c r="T42" s="12">
        <v>17639</v>
      </c>
      <c r="U42" s="16"/>
      <c r="V42" s="19">
        <v>5.12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2026-01-21T01:22:12Z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