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902"/>
  </bookViews>
  <sheets>
    <sheet name="统计快报（一)" sheetId="5" r:id="rId1"/>
  </sheets>
  <definedNames>
    <definedName name="_xlnm._FilterDatabase" localSheetId="0" hidden="1">'统计快报（一)'!$B$5:$AP$43</definedName>
    <definedName name="_xlnm.Print_Area" localSheetId="0">'统计快报（一)'!$A$1:$AD$43</definedName>
  </definedNames>
  <calcPr calcId="144525"/>
</workbook>
</file>

<file path=xl/sharedStrings.xml><?xml version="1.0" encoding="utf-8"?>
<sst xmlns="http://schemas.openxmlformats.org/spreadsheetml/2006/main" count="139" uniqueCount="66">
  <si>
    <t>沂南农商银行贷款业务情况统计快报表</t>
  </si>
  <si>
    <t>2026.01.06</t>
  </si>
  <si>
    <t>基础数据</t>
  </si>
  <si>
    <t>单位</t>
  </si>
  <si>
    <t>实体贷款（纯账面）</t>
  </si>
  <si>
    <t>实体贷款（还原划转、核销等因素后）</t>
  </si>
  <si>
    <t>当年支行转公司</t>
  </si>
  <si>
    <t>当年核销</t>
  </si>
  <si>
    <t>当年从支行划入资产经营中心</t>
  </si>
  <si>
    <t>当年从资产经营中心划入支行</t>
  </si>
  <si>
    <t>年初</t>
  </si>
  <si>
    <t>上日</t>
  </si>
  <si>
    <t>上月</t>
  </si>
  <si>
    <t>户数</t>
  </si>
  <si>
    <t>余额</t>
  </si>
  <si>
    <t>较上日</t>
  </si>
  <si>
    <t>较上月</t>
  </si>
  <si>
    <t>较年初</t>
  </si>
  <si>
    <t>增量较同期（1月末）</t>
  </si>
  <si>
    <t>增幅</t>
  </si>
  <si>
    <t>实体贷款（还原当年划转后）</t>
  </si>
  <si>
    <t>合计</t>
  </si>
  <si>
    <t>营业部</t>
  </si>
  <si>
    <t>界湖</t>
  </si>
  <si>
    <t>大庄</t>
  </si>
  <si>
    <t>张庄</t>
  </si>
  <si>
    <t>依汶</t>
  </si>
  <si>
    <t>马牧池</t>
  </si>
  <si>
    <t>岸堤</t>
  </si>
  <si>
    <t>孙祖</t>
  </si>
  <si>
    <t>双堠</t>
  </si>
  <si>
    <t>青驼</t>
  </si>
  <si>
    <t>砖埠</t>
  </si>
  <si>
    <t xml:space="preserve"> </t>
  </si>
  <si>
    <t>葛沟</t>
  </si>
  <si>
    <t>杨坡</t>
  </si>
  <si>
    <t>蒲汪</t>
  </si>
  <si>
    <t>湖头</t>
  </si>
  <si>
    <t>苏村</t>
  </si>
  <si>
    <t>铜井</t>
  </si>
  <si>
    <t>辛集</t>
  </si>
  <si>
    <t>朱家里庄</t>
  </si>
  <si>
    <t>中高湖</t>
  </si>
  <si>
    <t>岱庄</t>
  </si>
  <si>
    <t>高里</t>
  </si>
  <si>
    <t>河阳</t>
  </si>
  <si>
    <t>大王庄</t>
  </si>
  <si>
    <t>东张哨</t>
  </si>
  <si>
    <t>库沟</t>
  </si>
  <si>
    <t>城区</t>
  </si>
  <si>
    <t>开发区</t>
  </si>
  <si>
    <t>小微贷营销中心</t>
  </si>
  <si>
    <t>小微贷</t>
  </si>
  <si>
    <t>小微贷-房贷</t>
  </si>
  <si>
    <t>府前分理处</t>
  </si>
  <si>
    <t>府前</t>
  </si>
  <si>
    <t>汉街分理处</t>
  </si>
  <si>
    <t>汉街</t>
  </si>
  <si>
    <t>团山分理处</t>
  </si>
  <si>
    <t>团山</t>
  </si>
  <si>
    <t>公司业务部</t>
  </si>
  <si>
    <t>公司</t>
  </si>
  <si>
    <t>资产经营中心</t>
  </si>
  <si>
    <t>经营中心</t>
  </si>
  <si>
    <t>各项贷款</t>
  </si>
  <si>
    <t>转贴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</si>
</sst>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9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indexed="8"/>
      <name val="黑体"/>
      <charset val="134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0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16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17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15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21" fillId="13" borderId="14" applyNumberFormat="0" applyAlignment="0" applyProtection="0">
      <alignment vertical="center"/>
    </xf>
    <xf numFmtId="0" fontId="22" fillId="14" borderId="19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177" fontId="3" fillId="0" borderId="6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77" fontId="3" fillId="0" borderId="7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31" fontId="3" fillId="0" borderId="0" xfId="0" applyNumberFormat="1" applyFont="1" applyFill="1" applyAlignment="1">
      <alignment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7" fontId="0" fillId="2" borderId="2" xfId="0" applyNumberFormat="1" applyFill="1" applyBorder="1" applyAlignment="1">
      <alignment horizontal="center" vertical="center"/>
    </xf>
    <xf numFmtId="177" fontId="0" fillId="2" borderId="13" xfId="0" applyNumberFormat="1" applyFill="1" applyBorder="1" applyAlignment="1">
      <alignment horizontal="center" vertical="center"/>
    </xf>
    <xf numFmtId="177" fontId="0" fillId="2" borderId="9" xfId="0" applyNumberForma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差_Sheet1" xfId="27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差_Sheet2" xfId="40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好_Sheet1" xfId="51"/>
    <cellStyle name="好_Sheet2" xfId="52"/>
  </cellStyles>
  <dxfs count="4">
    <dxf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6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9680D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C44"/>
  <sheetViews>
    <sheetView tabSelected="1" zoomScale="40" zoomScaleNormal="40" workbookViewId="0">
      <pane xSplit="2" topLeftCell="C1" activePane="topRight" state="frozen"/>
      <selection/>
      <selection pane="topRight" activeCell="A1" sqref="A$1:A$1048576"/>
    </sheetView>
  </sheetViews>
  <sheetFormatPr defaultColWidth="9.125" defaultRowHeight="14.25"/>
  <cols>
    <col min="1" max="1" width="16" style="3" hidden="1" customWidth="1"/>
    <col min="2" max="2" width="16" style="1" customWidth="1"/>
    <col min="3" max="22" width="18.625" style="1" customWidth="1"/>
    <col min="23" max="23" width="12.625" style="4" hidden="1" customWidth="1"/>
    <col min="24" max="26" width="12.625" style="5" hidden="1" customWidth="1"/>
    <col min="27" max="27" width="12.625" style="1" hidden="1" customWidth="1"/>
    <col min="28" max="28" width="14.625" style="1" hidden="1" customWidth="1"/>
    <col min="29" max="30" width="12.625" style="1" hidden="1" customWidth="1"/>
    <col min="31" max="31" width="9.125" style="1" hidden="1" customWidth="1"/>
    <col min="32" max="32" width="12.625" style="1" hidden="1" customWidth="1"/>
    <col min="33" max="33" width="9.125" style="1" hidden="1" customWidth="1"/>
    <col min="34" max="34" width="12.625" style="1" hidden="1" customWidth="1"/>
    <col min="35" max="35" width="14.5333333333333" style="1" hidden="1" customWidth="1"/>
    <col min="36" max="36" width="21.3583333333333" style="1" hidden="1" customWidth="1"/>
    <col min="37" max="37" width="17.2666666666667" style="1" hidden="1" customWidth="1"/>
    <col min="38" max="38" width="23.4" style="1" hidden="1" customWidth="1"/>
    <col min="39" max="39" width="9.125" style="1" hidden="1" customWidth="1"/>
    <col min="40" max="40" width="8.375" style="1" hidden="1" customWidth="1"/>
    <col min="41" max="41" width="7.375" style="1" hidden="1" customWidth="1"/>
    <col min="42" max="42" width="9.375" style="1" hidden="1" customWidth="1"/>
    <col min="43" max="51" width="9.125" style="3" customWidth="1"/>
    <col min="52" max="52" width="11.5" style="3" customWidth="1"/>
    <col min="53" max="16382" width="9.125" style="3" customWidth="1"/>
    <col min="16383" max="16384" width="9.125" style="3"/>
  </cols>
  <sheetData>
    <row r="1" s="1" customFormat="1" ht="40" customHeight="1" spans="2:30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21"/>
      <c r="X1" s="22"/>
      <c r="Y1" s="22"/>
      <c r="Z1" s="22"/>
      <c r="AA1" s="6"/>
      <c r="AB1" s="6"/>
      <c r="AC1" s="6"/>
      <c r="AD1" s="6"/>
    </row>
    <row r="2" s="1" customFormat="1" ht="25.5" spans="2:42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23"/>
      <c r="X2" s="24"/>
      <c r="Y2" s="24"/>
      <c r="Z2" s="24"/>
      <c r="AA2" s="7"/>
      <c r="AB2" s="7"/>
      <c r="AC2" s="31"/>
      <c r="AD2" s="31"/>
      <c r="AE2" s="32" t="s">
        <v>2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="2" customFormat="1" ht="40" customHeight="1" spans="2:42">
      <c r="B3" s="8" t="s">
        <v>3</v>
      </c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8" t="s">
        <v>5</v>
      </c>
      <c r="P3" s="8"/>
      <c r="Q3" s="8"/>
      <c r="R3" s="8"/>
      <c r="S3" s="8"/>
      <c r="T3" s="8"/>
      <c r="U3" s="8"/>
      <c r="V3" s="8"/>
      <c r="W3" s="25" t="s">
        <v>6</v>
      </c>
      <c r="X3" s="26"/>
      <c r="Y3" s="34" t="s">
        <v>7</v>
      </c>
      <c r="Z3" s="26"/>
      <c r="AA3" s="18" t="s">
        <v>8</v>
      </c>
      <c r="AB3" s="18"/>
      <c r="AC3" s="18" t="s">
        <v>9</v>
      </c>
      <c r="AD3" s="18"/>
      <c r="AE3" s="35" t="s">
        <v>10</v>
      </c>
      <c r="AF3" s="36"/>
      <c r="AG3" s="36"/>
      <c r="AH3" s="36"/>
      <c r="AI3" s="42" t="s">
        <v>11</v>
      </c>
      <c r="AJ3" s="42"/>
      <c r="AK3" s="42"/>
      <c r="AL3" s="42"/>
      <c r="AM3" s="43" t="s">
        <v>12</v>
      </c>
      <c r="AN3" s="43"/>
      <c r="AO3" s="43"/>
      <c r="AP3" s="35"/>
    </row>
    <row r="4" s="2" customFormat="1" ht="65" customHeight="1" spans="2:42">
      <c r="B4" s="8"/>
      <c r="C4" s="11" t="s">
        <v>13</v>
      </c>
      <c r="D4" s="8" t="s">
        <v>14</v>
      </c>
      <c r="E4" s="8" t="s">
        <v>15</v>
      </c>
      <c r="F4" s="8"/>
      <c r="G4" s="8" t="s">
        <v>16</v>
      </c>
      <c r="H4" s="8"/>
      <c r="I4" s="8" t="s">
        <v>17</v>
      </c>
      <c r="J4" s="8"/>
      <c r="K4" s="9" t="s">
        <v>18</v>
      </c>
      <c r="L4" s="11"/>
      <c r="M4" s="18" t="s">
        <v>19</v>
      </c>
      <c r="N4" s="18"/>
      <c r="O4" s="8" t="s">
        <v>13</v>
      </c>
      <c r="P4" s="8" t="s">
        <v>14</v>
      </c>
      <c r="Q4" s="8" t="s">
        <v>16</v>
      </c>
      <c r="R4" s="8"/>
      <c r="S4" s="8" t="s">
        <v>17</v>
      </c>
      <c r="T4" s="8"/>
      <c r="U4" s="18" t="s">
        <v>19</v>
      </c>
      <c r="V4" s="18"/>
      <c r="W4" s="27"/>
      <c r="X4" s="28"/>
      <c r="Y4" s="37"/>
      <c r="Z4" s="28"/>
      <c r="AA4" s="18"/>
      <c r="AB4" s="18"/>
      <c r="AC4" s="18"/>
      <c r="AD4" s="18"/>
      <c r="AE4" s="38" t="s">
        <v>4</v>
      </c>
      <c r="AF4" s="39"/>
      <c r="AG4" s="38" t="s">
        <v>20</v>
      </c>
      <c r="AH4" s="39"/>
      <c r="AI4" s="38" t="s">
        <v>4</v>
      </c>
      <c r="AJ4" s="39"/>
      <c r="AK4" s="44" t="s">
        <v>20</v>
      </c>
      <c r="AL4" s="45"/>
      <c r="AM4" s="38" t="s">
        <v>4</v>
      </c>
      <c r="AN4" s="39"/>
      <c r="AO4" s="38" t="s">
        <v>20</v>
      </c>
      <c r="AP4" s="52"/>
    </row>
    <row r="5" s="2" customFormat="1" ht="40" customHeight="1" spans="2:42">
      <c r="B5" s="8"/>
      <c r="C5" s="11"/>
      <c r="D5" s="8"/>
      <c r="E5" s="8" t="s">
        <v>13</v>
      </c>
      <c r="F5" s="8" t="s">
        <v>14</v>
      </c>
      <c r="G5" s="8" t="s">
        <v>13</v>
      </c>
      <c r="H5" s="8" t="s">
        <v>14</v>
      </c>
      <c r="I5" s="8" t="s">
        <v>13</v>
      </c>
      <c r="J5" s="8" t="s">
        <v>14</v>
      </c>
      <c r="K5" s="8" t="s">
        <v>13</v>
      </c>
      <c r="L5" s="8" t="s">
        <v>14</v>
      </c>
      <c r="M5" s="8" t="s">
        <v>13</v>
      </c>
      <c r="N5" s="8" t="s">
        <v>14</v>
      </c>
      <c r="O5" s="8"/>
      <c r="P5" s="8"/>
      <c r="Q5" s="8" t="s">
        <v>13</v>
      </c>
      <c r="R5" s="8" t="s">
        <v>14</v>
      </c>
      <c r="S5" s="8" t="s">
        <v>13</v>
      </c>
      <c r="T5" s="8" t="s">
        <v>14</v>
      </c>
      <c r="U5" s="8" t="s">
        <v>13</v>
      </c>
      <c r="V5" s="8" t="s">
        <v>14</v>
      </c>
      <c r="W5" s="12" t="s">
        <v>13</v>
      </c>
      <c r="X5" s="29" t="s">
        <v>14</v>
      </c>
      <c r="Y5" s="29"/>
      <c r="Z5" s="29"/>
      <c r="AA5" s="8" t="s">
        <v>13</v>
      </c>
      <c r="AB5" s="8" t="s">
        <v>14</v>
      </c>
      <c r="AC5" s="8" t="s">
        <v>13</v>
      </c>
      <c r="AD5" s="8" t="s">
        <v>14</v>
      </c>
      <c r="AE5" s="40" t="s">
        <v>13</v>
      </c>
      <c r="AF5" s="40" t="s">
        <v>14</v>
      </c>
      <c r="AG5" s="40" t="s">
        <v>13</v>
      </c>
      <c r="AH5" s="40" t="s">
        <v>14</v>
      </c>
      <c r="AI5" s="45" t="s">
        <v>13</v>
      </c>
      <c r="AJ5" s="46" t="s">
        <v>14</v>
      </c>
      <c r="AK5" s="46" t="s">
        <v>13</v>
      </c>
      <c r="AL5" s="46" t="s">
        <v>14</v>
      </c>
      <c r="AM5" s="46" t="s">
        <v>13</v>
      </c>
      <c r="AN5" s="46" t="s">
        <v>14</v>
      </c>
      <c r="AO5" s="46" t="s">
        <v>13</v>
      </c>
      <c r="AP5" s="44" t="s">
        <v>14</v>
      </c>
    </row>
    <row r="6" s="1" customFormat="1" ht="40" customHeight="1" spans="1:52">
      <c r="A6" s="1" t="s">
        <v>21</v>
      </c>
      <c r="B6" s="12" t="s">
        <v>21</v>
      </c>
      <c r="C6" s="12">
        <v>24898</v>
      </c>
      <c r="D6" s="12">
        <f>SUM(D7:D41)</f>
        <v>1393193.835298</v>
      </c>
      <c r="E6" s="12">
        <f>C6-AI6</f>
        <v>3</v>
      </c>
      <c r="F6" s="12">
        <f>D6-AJ6</f>
        <v>-1014.86513000005</v>
      </c>
      <c r="G6" s="12">
        <f>C6-AM6</f>
        <v>307</v>
      </c>
      <c r="H6" s="12">
        <f>D6-AN6</f>
        <v>-247.710689000087</v>
      </c>
      <c r="I6" s="12">
        <f>C6-AE6</f>
        <v>307</v>
      </c>
      <c r="J6" s="12">
        <f>D6-AF6</f>
        <v>-247.710689000087</v>
      </c>
      <c r="K6" s="12">
        <f>I6-AS6</f>
        <v>-1225</v>
      </c>
      <c r="L6" s="12">
        <f>J6-AT6</f>
        <v>-44098.2006889999</v>
      </c>
      <c r="M6" s="19">
        <f>I6/AE6*100</f>
        <v>1.24842422024318</v>
      </c>
      <c r="N6" s="19">
        <f>J6/AF6*100</f>
        <v>-0.0177768984794141</v>
      </c>
      <c r="O6" s="12">
        <f>C6+Y6</f>
        <v>24898</v>
      </c>
      <c r="P6" s="12">
        <f>D6+Z6</f>
        <v>1393193.835298</v>
      </c>
      <c r="Q6" s="12">
        <f>O6-AO6</f>
        <v>307</v>
      </c>
      <c r="R6" s="12">
        <f>P6-AP6</f>
        <v>-247.710689000087</v>
      </c>
      <c r="S6" s="30">
        <f>O6-AG6</f>
        <v>307</v>
      </c>
      <c r="T6" s="12">
        <f>P6-AH6</f>
        <v>-247.710689000087</v>
      </c>
      <c r="U6" s="19">
        <f>S6/AG6*100</f>
        <v>1.24842422024318</v>
      </c>
      <c r="V6" s="19">
        <f>T6/AH6*100</f>
        <v>-0.0177768984794141</v>
      </c>
      <c r="W6" s="12"/>
      <c r="X6" s="29"/>
      <c r="Y6" s="29"/>
      <c r="Z6" s="29"/>
      <c r="AA6" s="29"/>
      <c r="AB6" s="29"/>
      <c r="AC6" s="29"/>
      <c r="AD6" s="29"/>
      <c r="AE6" s="41">
        <v>24591</v>
      </c>
      <c r="AF6" s="41">
        <v>1393441.545987</v>
      </c>
      <c r="AG6" s="41">
        <v>24591</v>
      </c>
      <c r="AH6" s="41">
        <v>1393441.545987</v>
      </c>
      <c r="AI6" s="47">
        <v>24895</v>
      </c>
      <c r="AJ6" s="47">
        <v>1394208.700428</v>
      </c>
      <c r="AK6" s="47">
        <v>24895</v>
      </c>
      <c r="AL6" s="48">
        <v>1394208.700428</v>
      </c>
      <c r="AM6" s="41">
        <v>24591</v>
      </c>
      <c r="AN6" s="41">
        <v>1393441.545987</v>
      </c>
      <c r="AO6" s="41">
        <v>24591</v>
      </c>
      <c r="AP6" s="49">
        <v>1393441.545987</v>
      </c>
      <c r="AS6" s="1">
        <v>1532</v>
      </c>
      <c r="AT6" s="1">
        <v>43850.4899999998</v>
      </c>
      <c r="AZ6" s="1">
        <f>SUM(AZ7:AZ41)</f>
        <v>1393100.081562</v>
      </c>
    </row>
    <row r="7" s="1" customFormat="1" ht="40" customHeight="1" spans="1:52">
      <c r="A7" s="1" t="s">
        <v>22</v>
      </c>
      <c r="B7" s="12" t="s">
        <v>22</v>
      </c>
      <c r="C7" s="13">
        <v>1651</v>
      </c>
      <c r="D7" s="12">
        <v>81207.145179</v>
      </c>
      <c r="E7" s="12">
        <f>C7-AI7</f>
        <v>1</v>
      </c>
      <c r="F7" s="12">
        <f>D7-AJ7</f>
        <v>-67.2959269999992</v>
      </c>
      <c r="G7" s="12">
        <f>C7-AM7</f>
        <v>-6</v>
      </c>
      <c r="H7" s="12">
        <f>D7-AN7</f>
        <v>-1202.77071700001</v>
      </c>
      <c r="I7" s="12">
        <f>C7-AE7</f>
        <v>-6</v>
      </c>
      <c r="J7" s="12">
        <f>D7-AF7</f>
        <v>-1202.77071700001</v>
      </c>
      <c r="K7" s="12">
        <f t="shared" ref="K6:K12" si="0">I7-AS7</f>
        <v>-37</v>
      </c>
      <c r="L7" s="12">
        <f>J7-AT7</f>
        <v>-2710.31071700002</v>
      </c>
      <c r="M7" s="19">
        <f>I7/AE7*100</f>
        <v>-0.362100181050091</v>
      </c>
      <c r="N7" s="19">
        <f>J7/AF7*100</f>
        <v>-1.45949756643106</v>
      </c>
      <c r="O7" s="12">
        <f>C7+W7+AA7-AC7</f>
        <v>1651</v>
      </c>
      <c r="P7" s="12">
        <f>D7+X7+AB7-AD7</f>
        <v>81207.145179</v>
      </c>
      <c r="Q7" s="12">
        <f>O7-AO7</f>
        <v>-6</v>
      </c>
      <c r="R7" s="12">
        <f>P7-AP7</f>
        <v>-1202.77071700001</v>
      </c>
      <c r="S7" s="12">
        <f>O7-AG7</f>
        <v>-6</v>
      </c>
      <c r="T7" s="12">
        <f>P7-AH7</f>
        <v>-1202.77071700001</v>
      </c>
      <c r="U7" s="19">
        <f>S7/AG7*100</f>
        <v>-0.362100181050091</v>
      </c>
      <c r="V7" s="19">
        <f>T7/AH7*100</f>
        <v>-1.45949756643106</v>
      </c>
      <c r="W7" s="12"/>
      <c r="X7" s="29"/>
      <c r="Y7" s="29"/>
      <c r="Z7" s="29"/>
      <c r="AA7" s="29"/>
      <c r="AB7" s="12"/>
      <c r="AC7" s="29"/>
      <c r="AD7" s="12"/>
      <c r="AE7" s="41">
        <v>1657</v>
      </c>
      <c r="AF7" s="41">
        <v>82409.915896</v>
      </c>
      <c r="AG7" s="41">
        <v>1657</v>
      </c>
      <c r="AH7" s="41">
        <v>82409.915896</v>
      </c>
      <c r="AI7" s="47">
        <v>1650</v>
      </c>
      <c r="AJ7" s="47">
        <v>81274.441106</v>
      </c>
      <c r="AK7" s="47">
        <v>1650</v>
      </c>
      <c r="AL7" s="47">
        <v>81274.441106</v>
      </c>
      <c r="AM7" s="41">
        <v>1657</v>
      </c>
      <c r="AN7" s="41">
        <v>82409.915896</v>
      </c>
      <c r="AO7" s="41">
        <v>1657</v>
      </c>
      <c r="AP7" s="49">
        <v>82409.915896</v>
      </c>
      <c r="AS7" s="1">
        <v>31</v>
      </c>
      <c r="AT7" s="1">
        <v>1507.54000000001</v>
      </c>
      <c r="AZ7" s="54">
        <v>82876.471166</v>
      </c>
    </row>
    <row r="8" s="1" customFormat="1" ht="40" customHeight="1" spans="1:52">
      <c r="A8" s="1" t="s">
        <v>23</v>
      </c>
      <c r="B8" s="12" t="s">
        <v>23</v>
      </c>
      <c r="C8" s="13">
        <v>1920</v>
      </c>
      <c r="D8" s="12">
        <v>121748.417666</v>
      </c>
      <c r="E8" s="12">
        <f>C8-AI8</f>
        <v>0</v>
      </c>
      <c r="F8" s="12">
        <f>D8-AJ8</f>
        <v>-852.700000000012</v>
      </c>
      <c r="G8" s="12">
        <f>C8-AM8</f>
        <v>-5</v>
      </c>
      <c r="H8" s="12">
        <f>D8-AN8</f>
        <v>-1479.95193000001</v>
      </c>
      <c r="I8" s="12">
        <f>C8-AE8</f>
        <v>-5</v>
      </c>
      <c r="J8" s="12">
        <f>D8-AF8</f>
        <v>-1479.95193000001</v>
      </c>
      <c r="K8" s="12">
        <f t="shared" si="0"/>
        <v>-5</v>
      </c>
      <c r="L8" s="12">
        <f>J8-AT8</f>
        <v>-366.10193</v>
      </c>
      <c r="M8" s="19">
        <f>I8/AE8*100</f>
        <v>-0.25974025974026</v>
      </c>
      <c r="N8" s="19">
        <f>J8/AF8*100</f>
        <v>-1.20098312981985</v>
      </c>
      <c r="O8" s="12">
        <f>C8+W8+AA8-AC8</f>
        <v>1920</v>
      </c>
      <c r="P8" s="12">
        <f>D8+X8+AB8-AD8</f>
        <v>121748.417666</v>
      </c>
      <c r="Q8" s="12">
        <f>O8-AO8</f>
        <v>-5</v>
      </c>
      <c r="R8" s="12">
        <f>P8-AP8</f>
        <v>-1479.95193000001</v>
      </c>
      <c r="S8" s="30">
        <f>O8-AG8</f>
        <v>-5</v>
      </c>
      <c r="T8" s="12">
        <f>P8-AH8</f>
        <v>-1479.95193000001</v>
      </c>
      <c r="U8" s="19">
        <f>S8/AG8*100</f>
        <v>-0.25974025974026</v>
      </c>
      <c r="V8" s="19">
        <f>T8/AH8*100</f>
        <v>-1.20098312981985</v>
      </c>
      <c r="W8" s="12"/>
      <c r="X8" s="29"/>
      <c r="Y8" s="29"/>
      <c r="Z8" s="29"/>
      <c r="AA8" s="29"/>
      <c r="AB8" s="12"/>
      <c r="AC8" s="29"/>
      <c r="AD8" s="12"/>
      <c r="AE8" s="41">
        <v>1925</v>
      </c>
      <c r="AF8" s="41">
        <v>123228.369596</v>
      </c>
      <c r="AG8" s="41">
        <v>1925</v>
      </c>
      <c r="AH8" s="41">
        <v>123228.369596</v>
      </c>
      <c r="AI8" s="47">
        <v>1920</v>
      </c>
      <c r="AJ8" s="47">
        <v>122601.117666</v>
      </c>
      <c r="AK8" s="47">
        <v>1920</v>
      </c>
      <c r="AL8" s="47">
        <v>122601.117666</v>
      </c>
      <c r="AM8" s="41">
        <v>1925</v>
      </c>
      <c r="AN8" s="41">
        <v>123228.369596</v>
      </c>
      <c r="AO8" s="41">
        <v>1925</v>
      </c>
      <c r="AP8" s="49">
        <v>123228.369596</v>
      </c>
      <c r="AS8" s="1">
        <v>0</v>
      </c>
      <c r="AT8" s="1">
        <v>-1113.85000000001</v>
      </c>
      <c r="AZ8" s="54">
        <v>123176</v>
      </c>
    </row>
    <row r="9" s="1" customFormat="1" ht="40" customHeight="1" spans="1:52">
      <c r="A9" s="1" t="s">
        <v>24</v>
      </c>
      <c r="B9" s="12" t="s">
        <v>24</v>
      </c>
      <c r="C9" s="13">
        <v>753</v>
      </c>
      <c r="D9" s="12">
        <v>23297.99005</v>
      </c>
      <c r="E9" s="12">
        <f t="shared" ref="E9:E41" si="1">C9-AI9</f>
        <v>1</v>
      </c>
      <c r="F9" s="12">
        <f t="shared" ref="F9:F41" si="2">D9-AJ9</f>
        <v>-178.369999999999</v>
      </c>
      <c r="G9" s="12">
        <f t="shared" ref="G9:G41" si="3">C9-AM9</f>
        <v>40</v>
      </c>
      <c r="H9" s="12">
        <f t="shared" ref="H9:H41" si="4">D9-AN9</f>
        <v>179.694813999999</v>
      </c>
      <c r="I9" s="12">
        <f t="shared" ref="I9:I41" si="5">C9-AE9</f>
        <v>40</v>
      </c>
      <c r="J9" s="12">
        <f t="shared" ref="J9:J41" si="6">D9-AF9</f>
        <v>179.694813999999</v>
      </c>
      <c r="K9" s="12">
        <f t="shared" si="0"/>
        <v>-61</v>
      </c>
      <c r="L9" s="12">
        <f t="shared" ref="L9:L41" si="7">J9-AT9</f>
        <v>-1073.385186</v>
      </c>
      <c r="M9" s="19">
        <f t="shared" ref="M9:M41" si="8">I9/AE9*100</f>
        <v>5.61009817671809</v>
      </c>
      <c r="N9" s="19">
        <f t="shared" ref="N9:N41" si="9">J9/AF9*100</f>
        <v>0.777284017552368</v>
      </c>
      <c r="O9" s="12">
        <f t="shared" ref="O9:O40" si="10">C9+W9+AA9-AC9</f>
        <v>753</v>
      </c>
      <c r="P9" s="12">
        <f t="shared" ref="P9:P40" si="11">D9+X9+AB9-AD9</f>
        <v>23297.99005</v>
      </c>
      <c r="Q9" s="12">
        <f t="shared" ref="Q9:Q41" si="12">O9-AO9</f>
        <v>40</v>
      </c>
      <c r="R9" s="12">
        <f t="shared" ref="R9:R41" si="13">P9-AP9</f>
        <v>179.694813999999</v>
      </c>
      <c r="S9" s="12">
        <f t="shared" ref="S9:S41" si="14">O9-AG9</f>
        <v>40</v>
      </c>
      <c r="T9" s="12">
        <f t="shared" ref="T9:T41" si="15">P9-AH9</f>
        <v>179.694813999999</v>
      </c>
      <c r="U9" s="19">
        <f t="shared" ref="U9:U41" si="16">S9/AG9*100</f>
        <v>5.61009817671809</v>
      </c>
      <c r="V9" s="19">
        <f t="shared" ref="V9:V41" si="17">T9/AH9*100</f>
        <v>0.777284017552368</v>
      </c>
      <c r="W9" s="12"/>
      <c r="X9" s="29"/>
      <c r="Y9" s="29"/>
      <c r="Z9" s="29"/>
      <c r="AA9" s="29"/>
      <c r="AB9" s="12"/>
      <c r="AC9" s="29"/>
      <c r="AD9" s="12"/>
      <c r="AE9" s="41">
        <v>713</v>
      </c>
      <c r="AF9" s="41">
        <v>23118.295236</v>
      </c>
      <c r="AG9" s="41">
        <v>713</v>
      </c>
      <c r="AH9" s="41">
        <v>23118.295236</v>
      </c>
      <c r="AI9" s="47">
        <v>752</v>
      </c>
      <c r="AJ9" s="47">
        <v>23476.36005</v>
      </c>
      <c r="AK9" s="47">
        <v>752</v>
      </c>
      <c r="AL9" s="47">
        <v>23476.36005</v>
      </c>
      <c r="AM9" s="41">
        <v>713</v>
      </c>
      <c r="AN9" s="41">
        <v>23118.295236</v>
      </c>
      <c r="AO9" s="41">
        <v>713</v>
      </c>
      <c r="AP9" s="49">
        <v>23118.295236</v>
      </c>
      <c r="AS9" s="1">
        <v>101</v>
      </c>
      <c r="AT9" s="1">
        <v>1253.08</v>
      </c>
      <c r="AZ9" s="54">
        <v>23096.981606</v>
      </c>
    </row>
    <row r="10" s="1" customFormat="1" ht="40" customHeight="1" spans="1:52">
      <c r="A10" s="1" t="s">
        <v>25</v>
      </c>
      <c r="B10" s="12" t="s">
        <v>25</v>
      </c>
      <c r="C10" s="13">
        <v>919</v>
      </c>
      <c r="D10" s="12">
        <v>27703.731075</v>
      </c>
      <c r="E10" s="12">
        <f t="shared" si="1"/>
        <v>0</v>
      </c>
      <c r="F10" s="12">
        <f t="shared" si="2"/>
        <v>-38.5999999999985</v>
      </c>
      <c r="G10" s="12">
        <f t="shared" si="3"/>
        <v>28</v>
      </c>
      <c r="H10" s="12">
        <f t="shared" si="4"/>
        <v>-171.970000000001</v>
      </c>
      <c r="I10" s="12">
        <f t="shared" si="5"/>
        <v>28</v>
      </c>
      <c r="J10" s="12">
        <f t="shared" si="6"/>
        <v>-171.970000000001</v>
      </c>
      <c r="K10" s="12">
        <f t="shared" si="0"/>
        <v>10</v>
      </c>
      <c r="L10" s="12">
        <f t="shared" si="7"/>
        <v>-1882.74</v>
      </c>
      <c r="M10" s="19">
        <f t="shared" si="8"/>
        <v>3.14253647586981</v>
      </c>
      <c r="N10" s="19">
        <f t="shared" si="9"/>
        <v>-0.616917219542975</v>
      </c>
      <c r="O10" s="12">
        <f t="shared" si="10"/>
        <v>919</v>
      </c>
      <c r="P10" s="12">
        <f t="shared" si="11"/>
        <v>27703.731075</v>
      </c>
      <c r="Q10" s="12">
        <f t="shared" si="12"/>
        <v>28</v>
      </c>
      <c r="R10" s="12">
        <f t="shared" si="13"/>
        <v>-171.970000000001</v>
      </c>
      <c r="S10" s="12">
        <f t="shared" si="14"/>
        <v>28</v>
      </c>
      <c r="T10" s="12">
        <f t="shared" si="15"/>
        <v>-171.970000000001</v>
      </c>
      <c r="U10" s="19">
        <f t="shared" si="16"/>
        <v>3.14253647586981</v>
      </c>
      <c r="V10" s="19">
        <f t="shared" si="17"/>
        <v>-0.616917219542975</v>
      </c>
      <c r="W10" s="12"/>
      <c r="X10" s="29"/>
      <c r="Y10" s="29"/>
      <c r="Z10" s="29"/>
      <c r="AA10" s="29"/>
      <c r="AB10" s="12"/>
      <c r="AC10" s="29"/>
      <c r="AD10" s="12"/>
      <c r="AE10" s="41">
        <v>891</v>
      </c>
      <c r="AF10" s="41">
        <v>27875.701075</v>
      </c>
      <c r="AG10" s="41">
        <v>891</v>
      </c>
      <c r="AH10" s="41">
        <v>27875.701075</v>
      </c>
      <c r="AI10" s="47">
        <v>919</v>
      </c>
      <c r="AJ10" s="47">
        <v>27742.331075</v>
      </c>
      <c r="AK10" s="47">
        <v>919</v>
      </c>
      <c r="AL10" s="47">
        <v>27742.331075</v>
      </c>
      <c r="AM10" s="41">
        <v>891</v>
      </c>
      <c r="AN10" s="41">
        <v>27875.701075</v>
      </c>
      <c r="AO10" s="41">
        <v>891</v>
      </c>
      <c r="AP10" s="49">
        <v>27875.701075</v>
      </c>
      <c r="AS10" s="1">
        <v>18</v>
      </c>
      <c r="AT10" s="1">
        <v>1710.77</v>
      </c>
      <c r="AZ10" s="54">
        <v>27861.763889</v>
      </c>
    </row>
    <row r="11" s="1" customFormat="1" ht="40" customHeight="1" spans="1:52">
      <c r="A11" s="1" t="s">
        <v>26</v>
      </c>
      <c r="B11" s="12" t="s">
        <v>26</v>
      </c>
      <c r="C11" s="13">
        <v>516</v>
      </c>
      <c r="D11" s="12">
        <v>12558.161814</v>
      </c>
      <c r="E11" s="12">
        <f t="shared" si="1"/>
        <v>0</v>
      </c>
      <c r="F11" s="12">
        <f t="shared" si="2"/>
        <v>14</v>
      </c>
      <c r="G11" s="12">
        <f t="shared" si="3"/>
        <v>25</v>
      </c>
      <c r="H11" s="12">
        <f t="shared" si="4"/>
        <v>416.689999999999</v>
      </c>
      <c r="I11" s="12">
        <f t="shared" si="5"/>
        <v>25</v>
      </c>
      <c r="J11" s="12">
        <f t="shared" si="6"/>
        <v>416.689999999999</v>
      </c>
      <c r="K11" s="12">
        <f t="shared" si="0"/>
        <v>-14</v>
      </c>
      <c r="L11" s="12">
        <f t="shared" si="7"/>
        <v>-519.970000000001</v>
      </c>
      <c r="M11" s="19">
        <f t="shared" si="8"/>
        <v>5.09164969450102</v>
      </c>
      <c r="N11" s="19">
        <f t="shared" si="9"/>
        <v>3.43195624371935</v>
      </c>
      <c r="O11" s="12">
        <f t="shared" si="10"/>
        <v>516</v>
      </c>
      <c r="P11" s="12">
        <f t="shared" si="11"/>
        <v>12558.161814</v>
      </c>
      <c r="Q11" s="12">
        <f t="shared" si="12"/>
        <v>25</v>
      </c>
      <c r="R11" s="12">
        <f t="shared" si="13"/>
        <v>416.689999999999</v>
      </c>
      <c r="S11" s="12">
        <f t="shared" si="14"/>
        <v>25</v>
      </c>
      <c r="T11" s="12">
        <f t="shared" si="15"/>
        <v>416.689999999999</v>
      </c>
      <c r="U11" s="19">
        <f t="shared" si="16"/>
        <v>5.09164969450102</v>
      </c>
      <c r="V11" s="19">
        <f t="shared" si="17"/>
        <v>3.43195624371935</v>
      </c>
      <c r="W11" s="12"/>
      <c r="X11" s="29"/>
      <c r="Y11" s="29"/>
      <c r="Z11" s="29"/>
      <c r="AA11" s="29"/>
      <c r="AB11" s="12"/>
      <c r="AC11" s="29"/>
      <c r="AD11" s="12"/>
      <c r="AE11" s="41">
        <v>491</v>
      </c>
      <c r="AF11" s="41">
        <v>12141.471814</v>
      </c>
      <c r="AG11" s="41">
        <v>491</v>
      </c>
      <c r="AH11" s="41">
        <v>12141.471814</v>
      </c>
      <c r="AI11" s="47">
        <v>516</v>
      </c>
      <c r="AJ11" s="47">
        <v>12544.161814</v>
      </c>
      <c r="AK11" s="47">
        <v>516</v>
      </c>
      <c r="AL11" s="47">
        <v>12544.161814</v>
      </c>
      <c r="AM11" s="41">
        <v>491</v>
      </c>
      <c r="AN11" s="41">
        <v>12141.471814</v>
      </c>
      <c r="AO11" s="41">
        <v>491</v>
      </c>
      <c r="AP11" s="49">
        <v>12141.471814</v>
      </c>
      <c r="AS11" s="1">
        <v>39</v>
      </c>
      <c r="AT11" s="1">
        <v>936.66</v>
      </c>
      <c r="AZ11" s="54">
        <v>12130</v>
      </c>
    </row>
    <row r="12" s="1" customFormat="1" ht="40" customHeight="1" spans="1:52">
      <c r="A12" s="1" t="s">
        <v>27</v>
      </c>
      <c r="B12" s="12" t="s">
        <v>27</v>
      </c>
      <c r="C12" s="13">
        <v>396</v>
      </c>
      <c r="D12" s="12">
        <v>14050.0316</v>
      </c>
      <c r="E12" s="12">
        <f t="shared" si="1"/>
        <v>-1</v>
      </c>
      <c r="F12" s="12">
        <f t="shared" si="2"/>
        <v>-45.619999999999</v>
      </c>
      <c r="G12" s="12">
        <f t="shared" si="3"/>
        <v>38</v>
      </c>
      <c r="H12" s="12">
        <f t="shared" si="4"/>
        <v>674.785263</v>
      </c>
      <c r="I12" s="12">
        <f t="shared" si="5"/>
        <v>38</v>
      </c>
      <c r="J12" s="12">
        <f t="shared" si="6"/>
        <v>674.785263</v>
      </c>
      <c r="K12" s="12">
        <f t="shared" si="0"/>
        <v>-35</v>
      </c>
      <c r="L12" s="12">
        <f t="shared" si="7"/>
        <v>-819.214737</v>
      </c>
      <c r="M12" s="19">
        <f t="shared" si="8"/>
        <v>10.6145251396648</v>
      </c>
      <c r="N12" s="19">
        <f t="shared" si="9"/>
        <v>5.04503054372418</v>
      </c>
      <c r="O12" s="12">
        <f t="shared" si="10"/>
        <v>396</v>
      </c>
      <c r="P12" s="12">
        <f t="shared" si="11"/>
        <v>14050.0316</v>
      </c>
      <c r="Q12" s="12">
        <f t="shared" si="12"/>
        <v>38</v>
      </c>
      <c r="R12" s="12">
        <f t="shared" si="13"/>
        <v>674.785263</v>
      </c>
      <c r="S12" s="30">
        <f t="shared" si="14"/>
        <v>38</v>
      </c>
      <c r="T12" s="12">
        <f t="shared" si="15"/>
        <v>674.785263</v>
      </c>
      <c r="U12" s="19">
        <f t="shared" si="16"/>
        <v>10.6145251396648</v>
      </c>
      <c r="V12" s="19">
        <f t="shared" si="17"/>
        <v>5.04503054372418</v>
      </c>
      <c r="W12" s="12"/>
      <c r="X12" s="29"/>
      <c r="Y12" s="29"/>
      <c r="Z12" s="29"/>
      <c r="AA12" s="29"/>
      <c r="AB12" s="12"/>
      <c r="AC12" s="29"/>
      <c r="AD12" s="12"/>
      <c r="AE12" s="41">
        <v>358</v>
      </c>
      <c r="AF12" s="41">
        <v>13375.246337</v>
      </c>
      <c r="AG12" s="41">
        <v>358</v>
      </c>
      <c r="AH12" s="41">
        <v>13375.246337</v>
      </c>
      <c r="AI12" s="47">
        <v>397</v>
      </c>
      <c r="AJ12" s="47">
        <v>14095.6516</v>
      </c>
      <c r="AK12" s="47">
        <v>397</v>
      </c>
      <c r="AL12" s="47">
        <v>14095.6516</v>
      </c>
      <c r="AM12" s="41">
        <v>358</v>
      </c>
      <c r="AN12" s="41">
        <v>13375.246337</v>
      </c>
      <c r="AO12" s="41">
        <v>358</v>
      </c>
      <c r="AP12" s="49">
        <v>13375.246337</v>
      </c>
      <c r="AS12" s="1">
        <v>73</v>
      </c>
      <c r="AT12" s="1">
        <v>1494</v>
      </c>
      <c r="AZ12" s="54">
        <v>13370</v>
      </c>
    </row>
    <row r="13" s="1" customFormat="1" ht="40" customHeight="1" spans="1:52">
      <c r="A13" s="1" t="s">
        <v>28</v>
      </c>
      <c r="B13" s="12" t="s">
        <v>28</v>
      </c>
      <c r="C13" s="13">
        <v>462</v>
      </c>
      <c r="D13" s="12">
        <v>12186.059215</v>
      </c>
      <c r="E13" s="12">
        <f t="shared" si="1"/>
        <v>0</v>
      </c>
      <c r="F13" s="12">
        <f t="shared" si="2"/>
        <v>52.5999999999985</v>
      </c>
      <c r="G13" s="12">
        <f t="shared" si="3"/>
        <v>-7</v>
      </c>
      <c r="H13" s="12">
        <f t="shared" si="4"/>
        <v>148.769598999999</v>
      </c>
      <c r="I13" s="12">
        <f t="shared" si="5"/>
        <v>-7</v>
      </c>
      <c r="J13" s="12">
        <f t="shared" si="6"/>
        <v>148.769598999999</v>
      </c>
      <c r="K13" s="12">
        <f t="shared" ref="K9:K41" si="18">I13-AS13</f>
        <v>-10</v>
      </c>
      <c r="L13" s="12">
        <f t="shared" si="7"/>
        <v>-417.700401000002</v>
      </c>
      <c r="M13" s="19">
        <f t="shared" si="8"/>
        <v>-1.49253731343284</v>
      </c>
      <c r="N13" s="19">
        <f t="shared" si="9"/>
        <v>1.23590611961562</v>
      </c>
      <c r="O13" s="12">
        <f t="shared" si="10"/>
        <v>462</v>
      </c>
      <c r="P13" s="12">
        <f t="shared" si="11"/>
        <v>12186.059215</v>
      </c>
      <c r="Q13" s="12">
        <f t="shared" si="12"/>
        <v>-7</v>
      </c>
      <c r="R13" s="12">
        <f t="shared" si="13"/>
        <v>148.769598999999</v>
      </c>
      <c r="S13" s="12">
        <f t="shared" si="14"/>
        <v>-7</v>
      </c>
      <c r="T13" s="12">
        <f t="shared" si="15"/>
        <v>148.769598999999</v>
      </c>
      <c r="U13" s="19">
        <f t="shared" si="16"/>
        <v>-1.49253731343284</v>
      </c>
      <c r="V13" s="19">
        <f t="shared" si="17"/>
        <v>1.23590611961562</v>
      </c>
      <c r="W13" s="12"/>
      <c r="X13" s="29"/>
      <c r="Y13" s="29"/>
      <c r="Z13" s="29"/>
      <c r="AA13" s="29"/>
      <c r="AB13" s="12"/>
      <c r="AC13" s="29"/>
      <c r="AD13" s="12"/>
      <c r="AE13" s="41">
        <v>469</v>
      </c>
      <c r="AF13" s="41">
        <v>12037.289616</v>
      </c>
      <c r="AG13" s="41">
        <v>469</v>
      </c>
      <c r="AH13" s="41">
        <v>12037.289616</v>
      </c>
      <c r="AI13" s="47">
        <v>462</v>
      </c>
      <c r="AJ13" s="47">
        <v>12133.459215</v>
      </c>
      <c r="AK13" s="47">
        <v>462</v>
      </c>
      <c r="AL13" s="47">
        <v>12133.459215</v>
      </c>
      <c r="AM13" s="41">
        <v>469</v>
      </c>
      <c r="AN13" s="41">
        <v>12037.289616</v>
      </c>
      <c r="AO13" s="41">
        <v>469</v>
      </c>
      <c r="AP13" s="49">
        <v>12037.289616</v>
      </c>
      <c r="AS13" s="1">
        <v>3</v>
      </c>
      <c r="AT13" s="1">
        <v>566.470000000001</v>
      </c>
      <c r="AZ13" s="54">
        <v>12000</v>
      </c>
    </row>
    <row r="14" s="1" customFormat="1" ht="40" customHeight="1" spans="1:52">
      <c r="A14" s="1" t="s">
        <v>29</v>
      </c>
      <c r="B14" s="12" t="s">
        <v>29</v>
      </c>
      <c r="C14" s="13">
        <v>351</v>
      </c>
      <c r="D14" s="12">
        <v>10998.021048</v>
      </c>
      <c r="E14" s="12">
        <f t="shared" si="1"/>
        <v>1</v>
      </c>
      <c r="F14" s="12">
        <f t="shared" si="2"/>
        <v>-6</v>
      </c>
      <c r="G14" s="12">
        <f t="shared" si="3"/>
        <v>3</v>
      </c>
      <c r="H14" s="12">
        <f t="shared" si="4"/>
        <v>418.33</v>
      </c>
      <c r="I14" s="12">
        <f t="shared" si="5"/>
        <v>3</v>
      </c>
      <c r="J14" s="12">
        <f t="shared" si="6"/>
        <v>418.33</v>
      </c>
      <c r="K14" s="12">
        <f t="shared" si="18"/>
        <v>-73</v>
      </c>
      <c r="L14" s="12">
        <f t="shared" si="7"/>
        <v>-498.969999999999</v>
      </c>
      <c r="M14" s="19">
        <f t="shared" si="8"/>
        <v>0.862068965517241</v>
      </c>
      <c r="N14" s="19">
        <f t="shared" si="9"/>
        <v>3.95408521952143</v>
      </c>
      <c r="O14" s="12">
        <f t="shared" si="10"/>
        <v>351</v>
      </c>
      <c r="P14" s="12">
        <f t="shared" si="11"/>
        <v>10998.021048</v>
      </c>
      <c r="Q14" s="12">
        <f t="shared" si="12"/>
        <v>3</v>
      </c>
      <c r="R14" s="12">
        <f t="shared" si="13"/>
        <v>418.33</v>
      </c>
      <c r="S14" s="12">
        <f t="shared" si="14"/>
        <v>3</v>
      </c>
      <c r="T14" s="12">
        <f t="shared" si="15"/>
        <v>418.33</v>
      </c>
      <c r="U14" s="19">
        <f t="shared" si="16"/>
        <v>0.862068965517241</v>
      </c>
      <c r="V14" s="19">
        <f t="shared" si="17"/>
        <v>3.95408521952143</v>
      </c>
      <c r="W14" s="12"/>
      <c r="X14" s="29"/>
      <c r="Y14" s="29"/>
      <c r="Z14" s="29"/>
      <c r="AA14" s="29"/>
      <c r="AB14" s="12"/>
      <c r="AC14" s="29"/>
      <c r="AD14" s="12"/>
      <c r="AE14" s="41">
        <v>348</v>
      </c>
      <c r="AF14" s="41">
        <v>10579.691048</v>
      </c>
      <c r="AG14" s="41">
        <v>348</v>
      </c>
      <c r="AH14" s="41">
        <v>10579.691048</v>
      </c>
      <c r="AI14" s="47">
        <v>350</v>
      </c>
      <c r="AJ14" s="47">
        <v>11004.021048</v>
      </c>
      <c r="AK14" s="47">
        <v>350</v>
      </c>
      <c r="AL14" s="47">
        <v>11004.021048</v>
      </c>
      <c r="AM14" s="41">
        <v>348</v>
      </c>
      <c r="AN14" s="41">
        <v>10579.691048</v>
      </c>
      <c r="AO14" s="41">
        <v>348</v>
      </c>
      <c r="AP14" s="49">
        <v>10579.691048</v>
      </c>
      <c r="AS14" s="1">
        <v>76</v>
      </c>
      <c r="AT14" s="1">
        <v>917.299999999999</v>
      </c>
      <c r="AZ14" s="54">
        <v>10550</v>
      </c>
    </row>
    <row r="15" s="1" customFormat="1" ht="40" customHeight="1" spans="1:52">
      <c r="A15" s="1" t="s">
        <v>30</v>
      </c>
      <c r="B15" s="12" t="s">
        <v>30</v>
      </c>
      <c r="C15" s="13">
        <v>675</v>
      </c>
      <c r="D15" s="12">
        <v>17751.259043</v>
      </c>
      <c r="E15" s="12">
        <f t="shared" si="1"/>
        <v>4</v>
      </c>
      <c r="F15" s="12">
        <f t="shared" si="2"/>
        <v>136.418639</v>
      </c>
      <c r="G15" s="12">
        <f t="shared" si="3"/>
        <v>21</v>
      </c>
      <c r="H15" s="12">
        <f t="shared" si="4"/>
        <v>209.922296999997</v>
      </c>
      <c r="I15" s="12">
        <f t="shared" si="5"/>
        <v>21</v>
      </c>
      <c r="J15" s="12">
        <f t="shared" si="6"/>
        <v>209.922296999997</v>
      </c>
      <c r="K15" s="12">
        <f t="shared" si="18"/>
        <v>-89</v>
      </c>
      <c r="L15" s="12">
        <f t="shared" si="7"/>
        <v>-1249.927703</v>
      </c>
      <c r="M15" s="19">
        <f t="shared" si="8"/>
        <v>3.21100917431193</v>
      </c>
      <c r="N15" s="19">
        <f t="shared" si="9"/>
        <v>1.19672918911306</v>
      </c>
      <c r="O15" s="12">
        <f t="shared" si="10"/>
        <v>675</v>
      </c>
      <c r="P15" s="12">
        <f t="shared" si="11"/>
        <v>17751.259043</v>
      </c>
      <c r="Q15" s="12">
        <f t="shared" si="12"/>
        <v>21</v>
      </c>
      <c r="R15" s="12">
        <f t="shared" si="13"/>
        <v>209.922296999997</v>
      </c>
      <c r="S15" s="12">
        <f t="shared" si="14"/>
        <v>21</v>
      </c>
      <c r="T15" s="12">
        <f t="shared" si="15"/>
        <v>209.922296999997</v>
      </c>
      <c r="U15" s="19">
        <f t="shared" si="16"/>
        <v>3.21100917431193</v>
      </c>
      <c r="V15" s="19">
        <f t="shared" si="17"/>
        <v>1.19672918911306</v>
      </c>
      <c r="W15" s="12"/>
      <c r="X15" s="29"/>
      <c r="Y15" s="29"/>
      <c r="Z15" s="29"/>
      <c r="AA15" s="29"/>
      <c r="AB15" s="12"/>
      <c r="AC15" s="29"/>
      <c r="AD15" s="12"/>
      <c r="AE15" s="41">
        <v>654</v>
      </c>
      <c r="AF15" s="41">
        <v>17541.336746</v>
      </c>
      <c r="AG15" s="41">
        <v>654</v>
      </c>
      <c r="AH15" s="41">
        <v>17541.336746</v>
      </c>
      <c r="AI15" s="47">
        <v>671</v>
      </c>
      <c r="AJ15" s="47">
        <v>17614.840404</v>
      </c>
      <c r="AK15" s="47">
        <v>671</v>
      </c>
      <c r="AL15" s="47">
        <v>17614.840404</v>
      </c>
      <c r="AM15" s="41">
        <v>654</v>
      </c>
      <c r="AN15" s="41">
        <v>17541.336746</v>
      </c>
      <c r="AO15" s="41">
        <v>654</v>
      </c>
      <c r="AP15" s="49">
        <v>17541.336746</v>
      </c>
      <c r="AS15" s="1">
        <v>110</v>
      </c>
      <c r="AT15" s="1">
        <v>1459.85</v>
      </c>
      <c r="AZ15" s="54">
        <v>17523.637117</v>
      </c>
    </row>
    <row r="16" s="1" customFormat="1" ht="40" customHeight="1" spans="1:52">
      <c r="A16" s="1" t="s">
        <v>31</v>
      </c>
      <c r="B16" s="12" t="s">
        <v>31</v>
      </c>
      <c r="C16" s="13">
        <v>697</v>
      </c>
      <c r="D16" s="12">
        <v>22876.624625</v>
      </c>
      <c r="E16" s="12">
        <f t="shared" si="1"/>
        <v>0</v>
      </c>
      <c r="F16" s="12">
        <f t="shared" si="2"/>
        <v>405.900000000001</v>
      </c>
      <c r="G16" s="12">
        <f t="shared" si="3"/>
        <v>-6</v>
      </c>
      <c r="H16" s="12">
        <f t="shared" si="4"/>
        <v>-24.1023380000006</v>
      </c>
      <c r="I16" s="12">
        <f t="shared" si="5"/>
        <v>-6</v>
      </c>
      <c r="J16" s="12">
        <f t="shared" si="6"/>
        <v>-24.1023380000006</v>
      </c>
      <c r="K16" s="12">
        <f t="shared" si="18"/>
        <v>-69</v>
      </c>
      <c r="L16" s="12">
        <f t="shared" si="7"/>
        <v>-812.062338</v>
      </c>
      <c r="M16" s="19">
        <f t="shared" si="8"/>
        <v>-0.85348506401138</v>
      </c>
      <c r="N16" s="19">
        <f t="shared" si="9"/>
        <v>-0.105247043200602</v>
      </c>
      <c r="O16" s="12">
        <f t="shared" si="10"/>
        <v>697</v>
      </c>
      <c r="P16" s="12">
        <f t="shared" si="11"/>
        <v>22876.624625</v>
      </c>
      <c r="Q16" s="12">
        <f t="shared" si="12"/>
        <v>-6</v>
      </c>
      <c r="R16" s="12">
        <f t="shared" si="13"/>
        <v>-24.1023380000006</v>
      </c>
      <c r="S16" s="12">
        <f t="shared" si="14"/>
        <v>-6</v>
      </c>
      <c r="T16" s="12">
        <f t="shared" si="15"/>
        <v>-24.1023380000006</v>
      </c>
      <c r="U16" s="19">
        <f t="shared" si="16"/>
        <v>-0.85348506401138</v>
      </c>
      <c r="V16" s="19">
        <f t="shared" si="17"/>
        <v>-0.105247043200602</v>
      </c>
      <c r="W16" s="12"/>
      <c r="X16" s="29"/>
      <c r="Y16" s="29"/>
      <c r="Z16" s="29"/>
      <c r="AA16" s="29"/>
      <c r="AB16" s="12"/>
      <c r="AC16" s="29"/>
      <c r="AD16" s="12"/>
      <c r="AE16" s="41">
        <v>703</v>
      </c>
      <c r="AF16" s="41">
        <v>22900.726963</v>
      </c>
      <c r="AG16" s="41">
        <v>703</v>
      </c>
      <c r="AH16" s="41">
        <v>22900.726963</v>
      </c>
      <c r="AI16" s="47">
        <v>697</v>
      </c>
      <c r="AJ16" s="47">
        <v>22470.724625</v>
      </c>
      <c r="AK16" s="47">
        <v>697</v>
      </c>
      <c r="AL16" s="47">
        <v>22470.724625</v>
      </c>
      <c r="AM16" s="41">
        <v>703</v>
      </c>
      <c r="AN16" s="41">
        <v>22900.726963</v>
      </c>
      <c r="AO16" s="41">
        <v>703</v>
      </c>
      <c r="AP16" s="49">
        <v>22900.726963</v>
      </c>
      <c r="AS16" s="1">
        <v>63</v>
      </c>
      <c r="AT16" s="1">
        <v>787.959999999999</v>
      </c>
      <c r="AZ16" s="54">
        <v>22877.270742</v>
      </c>
    </row>
    <row r="17" s="1" customFormat="1" ht="40" customHeight="1" spans="1:55">
      <c r="A17" s="1" t="s">
        <v>32</v>
      </c>
      <c r="B17" s="12" t="s">
        <v>32</v>
      </c>
      <c r="C17" s="13">
        <v>590</v>
      </c>
      <c r="D17" s="12">
        <v>18216.459284</v>
      </c>
      <c r="E17" s="12">
        <f t="shared" si="1"/>
        <v>-5</v>
      </c>
      <c r="F17" s="12">
        <f t="shared" si="2"/>
        <v>-43.2658719999999</v>
      </c>
      <c r="G17" s="12">
        <f t="shared" si="3"/>
        <v>-9</v>
      </c>
      <c r="H17" s="12">
        <f t="shared" si="4"/>
        <v>-213.561592999999</v>
      </c>
      <c r="I17" s="12">
        <f t="shared" si="5"/>
        <v>-9</v>
      </c>
      <c r="J17" s="12">
        <f t="shared" si="6"/>
        <v>-213.561592999999</v>
      </c>
      <c r="K17" s="12">
        <f t="shared" si="18"/>
        <v>-17</v>
      </c>
      <c r="L17" s="12">
        <f t="shared" si="7"/>
        <v>-943.271592999998</v>
      </c>
      <c r="M17" s="19">
        <f t="shared" si="8"/>
        <v>-1.5025041736227</v>
      </c>
      <c r="N17" s="19">
        <f t="shared" si="9"/>
        <v>-1.15877021749072</v>
      </c>
      <c r="O17" s="12">
        <f t="shared" si="10"/>
        <v>590</v>
      </c>
      <c r="P17" s="12">
        <f t="shared" si="11"/>
        <v>18216.459284</v>
      </c>
      <c r="Q17" s="12">
        <f t="shared" si="12"/>
        <v>-9</v>
      </c>
      <c r="R17" s="12">
        <f t="shared" si="13"/>
        <v>-213.561592999999</v>
      </c>
      <c r="S17" s="30">
        <f t="shared" si="14"/>
        <v>-9</v>
      </c>
      <c r="T17" s="12">
        <f t="shared" si="15"/>
        <v>-213.561592999999</v>
      </c>
      <c r="U17" s="19">
        <f t="shared" si="16"/>
        <v>-1.5025041736227</v>
      </c>
      <c r="V17" s="19">
        <f t="shared" si="17"/>
        <v>-1.15877021749072</v>
      </c>
      <c r="W17" s="12"/>
      <c r="X17" s="29"/>
      <c r="Y17" s="29"/>
      <c r="Z17" s="29"/>
      <c r="AA17" s="29"/>
      <c r="AB17" s="12"/>
      <c r="AC17" s="29"/>
      <c r="AD17" s="12"/>
      <c r="AE17" s="41">
        <v>599</v>
      </c>
      <c r="AF17" s="41">
        <v>18430.020877</v>
      </c>
      <c r="AG17" s="41">
        <v>599</v>
      </c>
      <c r="AH17" s="41">
        <v>18430.020877</v>
      </c>
      <c r="AI17" s="47">
        <v>595</v>
      </c>
      <c r="AJ17" s="47">
        <v>18259.725156</v>
      </c>
      <c r="AK17" s="47">
        <v>595</v>
      </c>
      <c r="AL17" s="47">
        <v>18259.725156</v>
      </c>
      <c r="AM17" s="41">
        <v>599</v>
      </c>
      <c r="AN17" s="41">
        <v>18430.020877</v>
      </c>
      <c r="AO17" s="41">
        <v>599</v>
      </c>
      <c r="AP17" s="49">
        <v>18430.020877</v>
      </c>
      <c r="AS17" s="1">
        <v>8</v>
      </c>
      <c r="AT17" s="1">
        <v>729.709999999999</v>
      </c>
      <c r="AZ17" s="54">
        <v>18422</v>
      </c>
      <c r="BC17" s="1" t="s">
        <v>33</v>
      </c>
    </row>
    <row r="18" s="1" customFormat="1" ht="40" customHeight="1" spans="1:52">
      <c r="A18" s="1" t="s">
        <v>34</v>
      </c>
      <c r="B18" s="12" t="s">
        <v>34</v>
      </c>
      <c r="C18" s="13">
        <v>478</v>
      </c>
      <c r="D18" s="12">
        <v>18723.299211</v>
      </c>
      <c r="E18" s="12">
        <f t="shared" si="1"/>
        <v>-1</v>
      </c>
      <c r="F18" s="12">
        <f t="shared" si="2"/>
        <v>-35.6253729999989</v>
      </c>
      <c r="G18" s="12">
        <f t="shared" si="3"/>
        <v>-4</v>
      </c>
      <c r="H18" s="12">
        <f t="shared" si="4"/>
        <v>-834.164188999999</v>
      </c>
      <c r="I18" s="12">
        <f t="shared" si="5"/>
        <v>-4</v>
      </c>
      <c r="J18" s="12">
        <f t="shared" si="6"/>
        <v>-834.164188999999</v>
      </c>
      <c r="K18" s="12">
        <f t="shared" si="18"/>
        <v>-15</v>
      </c>
      <c r="L18" s="12">
        <f t="shared" si="7"/>
        <v>-2145.634189</v>
      </c>
      <c r="M18" s="19">
        <f t="shared" si="8"/>
        <v>-0.829875518672199</v>
      </c>
      <c r="N18" s="19">
        <f t="shared" si="9"/>
        <v>-4.26519621660138</v>
      </c>
      <c r="O18" s="12">
        <f t="shared" si="10"/>
        <v>478</v>
      </c>
      <c r="P18" s="12">
        <f t="shared" si="11"/>
        <v>18723.299211</v>
      </c>
      <c r="Q18" s="12">
        <f t="shared" si="12"/>
        <v>-4</v>
      </c>
      <c r="R18" s="12">
        <f t="shared" si="13"/>
        <v>-834.164188999999</v>
      </c>
      <c r="S18" s="12">
        <f t="shared" si="14"/>
        <v>-4</v>
      </c>
      <c r="T18" s="12">
        <f t="shared" si="15"/>
        <v>-834.164188999999</v>
      </c>
      <c r="U18" s="19">
        <f t="shared" si="16"/>
        <v>-0.829875518672199</v>
      </c>
      <c r="V18" s="19">
        <f t="shared" si="17"/>
        <v>-4.26519621660138</v>
      </c>
      <c r="W18" s="12"/>
      <c r="X18" s="29"/>
      <c r="Y18" s="29"/>
      <c r="Z18" s="29"/>
      <c r="AA18" s="29"/>
      <c r="AB18" s="12"/>
      <c r="AC18" s="29"/>
      <c r="AD18" s="12"/>
      <c r="AE18" s="41">
        <v>482</v>
      </c>
      <c r="AF18" s="41">
        <v>19557.4634</v>
      </c>
      <c r="AG18" s="41">
        <v>482</v>
      </c>
      <c r="AH18" s="41">
        <v>19557.4634</v>
      </c>
      <c r="AI18" s="47">
        <v>479</v>
      </c>
      <c r="AJ18" s="47">
        <v>18758.924584</v>
      </c>
      <c r="AK18" s="47">
        <v>479</v>
      </c>
      <c r="AL18" s="47">
        <v>18758.924584</v>
      </c>
      <c r="AM18" s="41">
        <v>482</v>
      </c>
      <c r="AN18" s="41">
        <v>19557.4634</v>
      </c>
      <c r="AO18" s="41">
        <v>482</v>
      </c>
      <c r="AP18" s="49">
        <v>19557.4634</v>
      </c>
      <c r="AS18" s="1">
        <v>11</v>
      </c>
      <c r="AT18" s="1">
        <v>1311.47</v>
      </c>
      <c r="AZ18" s="54">
        <v>19500</v>
      </c>
    </row>
    <row r="19" s="1" customFormat="1" ht="40" customHeight="1" spans="1:52">
      <c r="A19" s="1" t="s">
        <v>35</v>
      </c>
      <c r="B19" s="12" t="s">
        <v>35</v>
      </c>
      <c r="C19" s="13">
        <v>434</v>
      </c>
      <c r="D19" s="12">
        <v>15144.245372</v>
      </c>
      <c r="E19" s="12">
        <f t="shared" si="1"/>
        <v>-1</v>
      </c>
      <c r="F19" s="12">
        <f t="shared" si="2"/>
        <v>-169.900000000001</v>
      </c>
      <c r="G19" s="12">
        <f t="shared" si="3"/>
        <v>2</v>
      </c>
      <c r="H19" s="12">
        <f t="shared" si="4"/>
        <v>513.898999999999</v>
      </c>
      <c r="I19" s="12">
        <f t="shared" si="5"/>
        <v>2</v>
      </c>
      <c r="J19" s="12">
        <f t="shared" si="6"/>
        <v>513.898999999999</v>
      </c>
      <c r="K19" s="12">
        <f t="shared" si="18"/>
        <v>-30</v>
      </c>
      <c r="L19" s="12">
        <f t="shared" si="7"/>
        <v>-289.081000000001</v>
      </c>
      <c r="M19" s="19">
        <f t="shared" si="8"/>
        <v>0.462962962962963</v>
      </c>
      <c r="N19" s="19">
        <f t="shared" si="9"/>
        <v>3.51255525285112</v>
      </c>
      <c r="O19" s="12">
        <f t="shared" si="10"/>
        <v>434</v>
      </c>
      <c r="P19" s="12">
        <f t="shared" si="11"/>
        <v>15144.245372</v>
      </c>
      <c r="Q19" s="12">
        <f t="shared" si="12"/>
        <v>2</v>
      </c>
      <c r="R19" s="12">
        <f t="shared" si="13"/>
        <v>513.898999999999</v>
      </c>
      <c r="S19" s="12">
        <f t="shared" si="14"/>
        <v>2</v>
      </c>
      <c r="T19" s="12">
        <f t="shared" si="15"/>
        <v>513.898999999999</v>
      </c>
      <c r="U19" s="19">
        <f t="shared" si="16"/>
        <v>0.462962962962963</v>
      </c>
      <c r="V19" s="19">
        <f t="shared" si="17"/>
        <v>3.51255525285112</v>
      </c>
      <c r="W19" s="12"/>
      <c r="X19" s="29"/>
      <c r="Y19" s="29"/>
      <c r="Z19" s="29"/>
      <c r="AA19" s="29"/>
      <c r="AB19" s="12"/>
      <c r="AC19" s="29"/>
      <c r="AD19" s="12"/>
      <c r="AE19" s="41">
        <v>432</v>
      </c>
      <c r="AF19" s="41">
        <v>14630.346372</v>
      </c>
      <c r="AG19" s="41">
        <v>432</v>
      </c>
      <c r="AH19" s="41">
        <v>14630.346372</v>
      </c>
      <c r="AI19" s="47">
        <v>435</v>
      </c>
      <c r="AJ19" s="47">
        <v>15314.145372</v>
      </c>
      <c r="AK19" s="47">
        <v>435</v>
      </c>
      <c r="AL19" s="47">
        <v>15314.145372</v>
      </c>
      <c r="AM19" s="41">
        <v>432</v>
      </c>
      <c r="AN19" s="41">
        <v>14630.346372</v>
      </c>
      <c r="AO19" s="41">
        <v>432</v>
      </c>
      <c r="AP19" s="49">
        <v>14630.346372</v>
      </c>
      <c r="AS19" s="1">
        <v>32</v>
      </c>
      <c r="AT19" s="1">
        <v>802.98</v>
      </c>
      <c r="AZ19" s="54">
        <v>14600</v>
      </c>
    </row>
    <row r="20" s="1" customFormat="1" ht="40" customHeight="1" spans="1:52">
      <c r="A20" s="1" t="s">
        <v>36</v>
      </c>
      <c r="B20" s="12" t="s">
        <v>36</v>
      </c>
      <c r="C20" s="13">
        <v>640</v>
      </c>
      <c r="D20" s="12">
        <v>18975.157604</v>
      </c>
      <c r="E20" s="12">
        <f t="shared" si="1"/>
        <v>2</v>
      </c>
      <c r="F20" s="12">
        <f t="shared" si="2"/>
        <v>231.799999999999</v>
      </c>
      <c r="G20" s="12">
        <f t="shared" si="3"/>
        <v>29</v>
      </c>
      <c r="H20" s="12">
        <f t="shared" si="4"/>
        <v>956.439999999999</v>
      </c>
      <c r="I20" s="12">
        <f t="shared" si="5"/>
        <v>29</v>
      </c>
      <c r="J20" s="12">
        <f t="shared" si="6"/>
        <v>956.439999999999</v>
      </c>
      <c r="K20" s="12">
        <f t="shared" si="18"/>
        <v>-52</v>
      </c>
      <c r="L20" s="12">
        <f t="shared" si="7"/>
        <v>-1260.21</v>
      </c>
      <c r="M20" s="19">
        <f t="shared" si="8"/>
        <v>4.74631751227496</v>
      </c>
      <c r="N20" s="19">
        <f t="shared" si="9"/>
        <v>5.30803590477314</v>
      </c>
      <c r="O20" s="12">
        <f t="shared" si="10"/>
        <v>640</v>
      </c>
      <c r="P20" s="12">
        <f t="shared" si="11"/>
        <v>18975.157604</v>
      </c>
      <c r="Q20" s="12">
        <f t="shared" si="12"/>
        <v>29</v>
      </c>
      <c r="R20" s="12">
        <f t="shared" si="13"/>
        <v>956.439999999999</v>
      </c>
      <c r="S20" s="12">
        <f t="shared" si="14"/>
        <v>29</v>
      </c>
      <c r="T20" s="12">
        <f t="shared" si="15"/>
        <v>956.439999999999</v>
      </c>
      <c r="U20" s="19">
        <f t="shared" si="16"/>
        <v>4.74631751227496</v>
      </c>
      <c r="V20" s="19">
        <f t="shared" si="17"/>
        <v>5.30803590477314</v>
      </c>
      <c r="W20" s="12"/>
      <c r="X20" s="29"/>
      <c r="Y20" s="29"/>
      <c r="Z20" s="29"/>
      <c r="AA20" s="29"/>
      <c r="AB20" s="12"/>
      <c r="AC20" s="29"/>
      <c r="AD20" s="12"/>
      <c r="AE20" s="41">
        <v>611</v>
      </c>
      <c r="AF20" s="41">
        <v>18018.717604</v>
      </c>
      <c r="AG20" s="41">
        <v>611</v>
      </c>
      <c r="AH20" s="41">
        <v>18018.717604</v>
      </c>
      <c r="AI20" s="47">
        <v>638</v>
      </c>
      <c r="AJ20" s="47">
        <v>18743.357604</v>
      </c>
      <c r="AK20" s="47">
        <v>638</v>
      </c>
      <c r="AL20" s="47">
        <v>18743.357604</v>
      </c>
      <c r="AM20" s="41">
        <v>611</v>
      </c>
      <c r="AN20" s="41">
        <v>18018.717604</v>
      </c>
      <c r="AO20" s="41">
        <v>611</v>
      </c>
      <c r="AP20" s="49">
        <v>18018.717604</v>
      </c>
      <c r="AS20" s="1">
        <v>81</v>
      </c>
      <c r="AT20" s="1">
        <v>2216.65</v>
      </c>
      <c r="AZ20" s="54">
        <v>17984.236588</v>
      </c>
    </row>
    <row r="21" s="1" customFormat="1" ht="40" customHeight="1" spans="1:52">
      <c r="A21" s="1" t="s">
        <v>37</v>
      </c>
      <c r="B21" s="12" t="s">
        <v>37</v>
      </c>
      <c r="C21" s="13">
        <v>445</v>
      </c>
      <c r="D21" s="12">
        <v>15165.895663</v>
      </c>
      <c r="E21" s="12">
        <f t="shared" si="1"/>
        <v>0</v>
      </c>
      <c r="F21" s="12">
        <f t="shared" si="2"/>
        <v>-25.5</v>
      </c>
      <c r="G21" s="12">
        <f t="shared" si="3"/>
        <v>7</v>
      </c>
      <c r="H21" s="12">
        <f t="shared" si="4"/>
        <v>-258.56861</v>
      </c>
      <c r="I21" s="12">
        <f t="shared" si="5"/>
        <v>7</v>
      </c>
      <c r="J21" s="12">
        <f t="shared" si="6"/>
        <v>-258.56861</v>
      </c>
      <c r="K21" s="12">
        <f t="shared" si="18"/>
        <v>-50</v>
      </c>
      <c r="L21" s="12">
        <f t="shared" si="7"/>
        <v>-1268.46861</v>
      </c>
      <c r="M21" s="19">
        <f t="shared" si="8"/>
        <v>1.59817351598174</v>
      </c>
      <c r="N21" s="19">
        <f t="shared" si="9"/>
        <v>-1.67635391040852</v>
      </c>
      <c r="O21" s="12">
        <f t="shared" si="10"/>
        <v>445</v>
      </c>
      <c r="P21" s="12">
        <f t="shared" si="11"/>
        <v>15165.895663</v>
      </c>
      <c r="Q21" s="12">
        <f t="shared" si="12"/>
        <v>7</v>
      </c>
      <c r="R21" s="12">
        <f t="shared" si="13"/>
        <v>-258.56861</v>
      </c>
      <c r="S21" s="30">
        <f t="shared" si="14"/>
        <v>7</v>
      </c>
      <c r="T21" s="12">
        <f t="shared" si="15"/>
        <v>-258.56861</v>
      </c>
      <c r="U21" s="19">
        <f t="shared" si="16"/>
        <v>1.59817351598174</v>
      </c>
      <c r="V21" s="19">
        <f t="shared" si="17"/>
        <v>-1.67635391040852</v>
      </c>
      <c r="W21" s="12"/>
      <c r="X21" s="29"/>
      <c r="Y21" s="29"/>
      <c r="Z21" s="29"/>
      <c r="AA21" s="29"/>
      <c r="AB21" s="12"/>
      <c r="AC21" s="29"/>
      <c r="AD21" s="12"/>
      <c r="AE21" s="41">
        <v>438</v>
      </c>
      <c r="AF21" s="41">
        <v>15424.464273</v>
      </c>
      <c r="AG21" s="41">
        <v>438</v>
      </c>
      <c r="AH21" s="41">
        <v>15424.464273</v>
      </c>
      <c r="AI21" s="47">
        <v>445</v>
      </c>
      <c r="AJ21" s="47">
        <v>15191.395663</v>
      </c>
      <c r="AK21" s="47">
        <v>445</v>
      </c>
      <c r="AL21" s="47">
        <v>15191.395663</v>
      </c>
      <c r="AM21" s="41">
        <v>438</v>
      </c>
      <c r="AN21" s="41">
        <v>15424.464273</v>
      </c>
      <c r="AO21" s="41">
        <v>438</v>
      </c>
      <c r="AP21" s="49">
        <v>15424.464273</v>
      </c>
      <c r="AS21" s="1">
        <v>57</v>
      </c>
      <c r="AT21" s="1">
        <v>1009.9</v>
      </c>
      <c r="AZ21" s="54">
        <v>15410</v>
      </c>
    </row>
    <row r="22" s="1" customFormat="1" ht="40" customHeight="1" spans="1:52">
      <c r="A22" s="1" t="s">
        <v>38</v>
      </c>
      <c r="B22" s="12" t="s">
        <v>38</v>
      </c>
      <c r="C22" s="13">
        <v>717</v>
      </c>
      <c r="D22" s="12">
        <v>24981.886119</v>
      </c>
      <c r="E22" s="12">
        <f t="shared" si="1"/>
        <v>-1</v>
      </c>
      <c r="F22" s="12">
        <f t="shared" si="2"/>
        <v>68.7999999999993</v>
      </c>
      <c r="G22" s="12">
        <f t="shared" si="3"/>
        <v>43</v>
      </c>
      <c r="H22" s="12">
        <f t="shared" si="4"/>
        <v>1637.317151</v>
      </c>
      <c r="I22" s="12">
        <f t="shared" si="5"/>
        <v>43</v>
      </c>
      <c r="J22" s="12">
        <f t="shared" si="6"/>
        <v>1637.317151</v>
      </c>
      <c r="K22" s="12">
        <f t="shared" si="18"/>
        <v>-19</v>
      </c>
      <c r="L22" s="12">
        <f t="shared" si="7"/>
        <v>358.397150999999</v>
      </c>
      <c r="M22" s="19">
        <f t="shared" si="8"/>
        <v>6.37982195845697</v>
      </c>
      <c r="N22" s="19">
        <f t="shared" si="9"/>
        <v>7.01369621878383</v>
      </c>
      <c r="O22" s="12">
        <f t="shared" si="10"/>
        <v>717</v>
      </c>
      <c r="P22" s="12">
        <f t="shared" si="11"/>
        <v>24981.886119</v>
      </c>
      <c r="Q22" s="12">
        <f t="shared" si="12"/>
        <v>43</v>
      </c>
      <c r="R22" s="12">
        <f t="shared" si="13"/>
        <v>1637.317151</v>
      </c>
      <c r="S22" s="12">
        <f t="shared" si="14"/>
        <v>43</v>
      </c>
      <c r="T22" s="12">
        <f t="shared" si="15"/>
        <v>1637.317151</v>
      </c>
      <c r="U22" s="19">
        <f t="shared" si="16"/>
        <v>6.37982195845697</v>
      </c>
      <c r="V22" s="19">
        <f t="shared" si="17"/>
        <v>7.01369621878383</v>
      </c>
      <c r="W22" s="12"/>
      <c r="X22" s="29"/>
      <c r="Y22" s="29"/>
      <c r="Z22" s="29"/>
      <c r="AA22" s="29"/>
      <c r="AB22" s="12"/>
      <c r="AC22" s="29"/>
      <c r="AD22" s="12"/>
      <c r="AE22" s="41">
        <v>674</v>
      </c>
      <c r="AF22" s="41">
        <v>23344.568968</v>
      </c>
      <c r="AG22" s="41">
        <v>674</v>
      </c>
      <c r="AH22" s="41">
        <v>23344.568968</v>
      </c>
      <c r="AI22" s="47">
        <v>718</v>
      </c>
      <c r="AJ22" s="47">
        <v>24913.086119</v>
      </c>
      <c r="AK22" s="47">
        <v>718</v>
      </c>
      <c r="AL22" s="47">
        <v>24913.086119</v>
      </c>
      <c r="AM22" s="41">
        <v>674</v>
      </c>
      <c r="AN22" s="41">
        <v>23344.568968</v>
      </c>
      <c r="AO22" s="41">
        <v>674</v>
      </c>
      <c r="AP22" s="49">
        <v>23344.568968</v>
      </c>
      <c r="AS22" s="1">
        <v>62</v>
      </c>
      <c r="AT22" s="1">
        <v>1278.92</v>
      </c>
      <c r="AZ22" s="54">
        <v>23270.1</v>
      </c>
    </row>
    <row r="23" s="1" customFormat="1" ht="40" customHeight="1" spans="1:52">
      <c r="A23" s="1" t="s">
        <v>39</v>
      </c>
      <c r="B23" s="12" t="s">
        <v>39</v>
      </c>
      <c r="C23" s="13">
        <v>696</v>
      </c>
      <c r="D23" s="12">
        <v>25492.978586</v>
      </c>
      <c r="E23" s="12">
        <f t="shared" si="1"/>
        <v>2</v>
      </c>
      <c r="F23" s="12">
        <f t="shared" si="2"/>
        <v>-44.3099999999977</v>
      </c>
      <c r="G23" s="12">
        <f t="shared" si="3"/>
        <v>-4</v>
      </c>
      <c r="H23" s="12">
        <f t="shared" si="4"/>
        <v>-527.209999999999</v>
      </c>
      <c r="I23" s="12">
        <f t="shared" si="5"/>
        <v>-4</v>
      </c>
      <c r="J23" s="12">
        <f t="shared" si="6"/>
        <v>-527.209999999999</v>
      </c>
      <c r="K23" s="12">
        <f t="shared" si="18"/>
        <v>-46</v>
      </c>
      <c r="L23" s="12">
        <f t="shared" si="7"/>
        <v>-1055.62</v>
      </c>
      <c r="M23" s="19">
        <f t="shared" si="8"/>
        <v>-0.571428571428571</v>
      </c>
      <c r="N23" s="19">
        <f t="shared" si="9"/>
        <v>-2.02615749020229</v>
      </c>
      <c r="O23" s="12">
        <f t="shared" si="10"/>
        <v>696</v>
      </c>
      <c r="P23" s="12">
        <f t="shared" si="11"/>
        <v>25492.978586</v>
      </c>
      <c r="Q23" s="12">
        <f t="shared" si="12"/>
        <v>-4</v>
      </c>
      <c r="R23" s="12">
        <f t="shared" si="13"/>
        <v>-527.209999999999</v>
      </c>
      <c r="S23" s="12">
        <f t="shared" si="14"/>
        <v>-4</v>
      </c>
      <c r="T23" s="12">
        <f t="shared" si="15"/>
        <v>-527.209999999999</v>
      </c>
      <c r="U23" s="19">
        <f t="shared" si="16"/>
        <v>-0.571428571428571</v>
      </c>
      <c r="V23" s="19">
        <f t="shared" si="17"/>
        <v>-2.02615749020229</v>
      </c>
      <c r="W23" s="12"/>
      <c r="X23" s="29"/>
      <c r="Y23" s="29"/>
      <c r="Z23" s="29"/>
      <c r="AA23" s="29"/>
      <c r="AB23" s="12"/>
      <c r="AC23" s="29"/>
      <c r="AD23" s="12"/>
      <c r="AE23" s="41">
        <v>700</v>
      </c>
      <c r="AF23" s="41">
        <v>26020.188586</v>
      </c>
      <c r="AG23" s="41">
        <v>700</v>
      </c>
      <c r="AH23" s="41">
        <v>26020.188586</v>
      </c>
      <c r="AI23" s="47">
        <v>694</v>
      </c>
      <c r="AJ23" s="47">
        <v>25537.288586</v>
      </c>
      <c r="AK23" s="47">
        <v>694</v>
      </c>
      <c r="AL23" s="47">
        <v>25537.288586</v>
      </c>
      <c r="AM23" s="41">
        <v>700</v>
      </c>
      <c r="AN23" s="41">
        <v>26020.188586</v>
      </c>
      <c r="AO23" s="41">
        <v>700</v>
      </c>
      <c r="AP23" s="49">
        <v>26020.188586</v>
      </c>
      <c r="AS23" s="1">
        <v>42</v>
      </c>
      <c r="AT23" s="1">
        <v>528.41</v>
      </c>
      <c r="AZ23" s="54">
        <v>26002</v>
      </c>
    </row>
    <row r="24" s="1" customFormat="1" ht="40" customHeight="1" spans="1:52">
      <c r="A24" s="1" t="s">
        <v>40</v>
      </c>
      <c r="B24" s="12" t="s">
        <v>40</v>
      </c>
      <c r="C24" s="13">
        <v>484</v>
      </c>
      <c r="D24" s="12">
        <v>15578.71</v>
      </c>
      <c r="E24" s="12">
        <f t="shared" si="1"/>
        <v>-2</v>
      </c>
      <c r="F24" s="12">
        <f t="shared" si="2"/>
        <v>13.9899999999998</v>
      </c>
      <c r="G24" s="12">
        <f t="shared" si="3"/>
        <v>13</v>
      </c>
      <c r="H24" s="12">
        <f t="shared" si="4"/>
        <v>990.309999999999</v>
      </c>
      <c r="I24" s="12">
        <f t="shared" si="5"/>
        <v>13</v>
      </c>
      <c r="J24" s="12">
        <f t="shared" si="6"/>
        <v>990.309999999999</v>
      </c>
      <c r="K24" s="12">
        <f t="shared" si="18"/>
        <v>-38</v>
      </c>
      <c r="L24" s="12">
        <f t="shared" si="7"/>
        <v>172.319999999999</v>
      </c>
      <c r="M24" s="19">
        <f t="shared" si="8"/>
        <v>2.76008492569002</v>
      </c>
      <c r="N24" s="19">
        <f t="shared" si="9"/>
        <v>6.78833868004716</v>
      </c>
      <c r="O24" s="12">
        <f t="shared" si="10"/>
        <v>484</v>
      </c>
      <c r="P24" s="12">
        <f t="shared" si="11"/>
        <v>15578.71</v>
      </c>
      <c r="Q24" s="12">
        <f t="shared" si="12"/>
        <v>13</v>
      </c>
      <c r="R24" s="12">
        <f t="shared" si="13"/>
        <v>990.309999999999</v>
      </c>
      <c r="S24" s="30">
        <f t="shared" si="14"/>
        <v>13</v>
      </c>
      <c r="T24" s="12">
        <f t="shared" si="15"/>
        <v>990.309999999999</v>
      </c>
      <c r="U24" s="19">
        <f t="shared" si="16"/>
        <v>2.76008492569002</v>
      </c>
      <c r="V24" s="19">
        <f t="shared" si="17"/>
        <v>6.78833868004716</v>
      </c>
      <c r="W24" s="12"/>
      <c r="X24" s="29"/>
      <c r="Y24" s="29"/>
      <c r="Z24" s="29"/>
      <c r="AA24" s="29"/>
      <c r="AB24" s="12"/>
      <c r="AC24" s="29"/>
      <c r="AD24" s="12"/>
      <c r="AE24" s="41">
        <v>471</v>
      </c>
      <c r="AF24" s="41">
        <v>14588.4</v>
      </c>
      <c r="AG24" s="41">
        <v>471</v>
      </c>
      <c r="AH24" s="41">
        <v>14588.4</v>
      </c>
      <c r="AI24" s="47">
        <v>486</v>
      </c>
      <c r="AJ24" s="47">
        <v>15564.72</v>
      </c>
      <c r="AK24" s="47">
        <v>486</v>
      </c>
      <c r="AL24" s="47">
        <v>15564.72</v>
      </c>
      <c r="AM24" s="41">
        <v>471</v>
      </c>
      <c r="AN24" s="41">
        <v>14588.4</v>
      </c>
      <c r="AO24" s="41">
        <v>471</v>
      </c>
      <c r="AP24" s="49">
        <v>14588.4</v>
      </c>
      <c r="AS24" s="1">
        <v>51</v>
      </c>
      <c r="AT24" s="1">
        <v>817.99</v>
      </c>
      <c r="AZ24" s="54">
        <v>14584</v>
      </c>
    </row>
    <row r="25" s="1" customFormat="1" ht="40" customHeight="1" spans="1:52">
      <c r="A25" s="1" t="s">
        <v>41</v>
      </c>
      <c r="B25" s="12" t="s">
        <v>41</v>
      </c>
      <c r="C25" s="13">
        <v>480</v>
      </c>
      <c r="D25" s="12">
        <v>15540.742478</v>
      </c>
      <c r="E25" s="12">
        <f t="shared" si="1"/>
        <v>0</v>
      </c>
      <c r="F25" s="12">
        <f t="shared" si="2"/>
        <v>3.57464699999946</v>
      </c>
      <c r="G25" s="12">
        <f t="shared" si="3"/>
        <v>-2</v>
      </c>
      <c r="H25" s="12">
        <f t="shared" si="4"/>
        <v>-586.134538</v>
      </c>
      <c r="I25" s="12">
        <f t="shared" si="5"/>
        <v>-2</v>
      </c>
      <c r="J25" s="12">
        <f t="shared" si="6"/>
        <v>-586.134538</v>
      </c>
      <c r="K25" s="12">
        <f t="shared" si="18"/>
        <v>-27</v>
      </c>
      <c r="L25" s="12">
        <f t="shared" si="7"/>
        <v>-1467.314538</v>
      </c>
      <c r="M25" s="19">
        <f t="shared" si="8"/>
        <v>-0.4149377593361</v>
      </c>
      <c r="N25" s="19">
        <f t="shared" si="9"/>
        <v>-3.63451979833713</v>
      </c>
      <c r="O25" s="12">
        <f t="shared" si="10"/>
        <v>480</v>
      </c>
      <c r="P25" s="12">
        <f t="shared" si="11"/>
        <v>15540.742478</v>
      </c>
      <c r="Q25" s="12">
        <f t="shared" si="12"/>
        <v>-2</v>
      </c>
      <c r="R25" s="12">
        <f t="shared" si="13"/>
        <v>-586.134538</v>
      </c>
      <c r="S25" s="12">
        <f t="shared" si="14"/>
        <v>-2</v>
      </c>
      <c r="T25" s="12">
        <f t="shared" si="15"/>
        <v>-586.134538</v>
      </c>
      <c r="U25" s="19">
        <f t="shared" si="16"/>
        <v>-0.4149377593361</v>
      </c>
      <c r="V25" s="19">
        <f t="shared" si="17"/>
        <v>-3.63451979833713</v>
      </c>
      <c r="W25" s="12"/>
      <c r="X25" s="29"/>
      <c r="Y25" s="29"/>
      <c r="Z25" s="29"/>
      <c r="AA25" s="29"/>
      <c r="AB25" s="12"/>
      <c r="AC25" s="29"/>
      <c r="AD25" s="12"/>
      <c r="AE25" s="41">
        <v>482</v>
      </c>
      <c r="AF25" s="41">
        <v>16126.877016</v>
      </c>
      <c r="AG25" s="41">
        <v>482</v>
      </c>
      <c r="AH25" s="41">
        <v>16126.877016</v>
      </c>
      <c r="AI25" s="47">
        <v>480</v>
      </c>
      <c r="AJ25" s="47">
        <v>15537.167831</v>
      </c>
      <c r="AK25" s="47">
        <v>480</v>
      </c>
      <c r="AL25" s="47">
        <v>15537.167831</v>
      </c>
      <c r="AM25" s="41">
        <v>482</v>
      </c>
      <c r="AN25" s="41">
        <v>16126.877016</v>
      </c>
      <c r="AO25" s="41">
        <v>482</v>
      </c>
      <c r="AP25" s="49">
        <v>16126.877016</v>
      </c>
      <c r="AS25" s="1">
        <v>25</v>
      </c>
      <c r="AT25" s="1">
        <v>881.18</v>
      </c>
      <c r="AZ25" s="54">
        <v>16106</v>
      </c>
    </row>
    <row r="26" s="1" customFormat="1" ht="40" customHeight="1" spans="1:52">
      <c r="A26" s="1" t="s">
        <v>42</v>
      </c>
      <c r="B26" s="12" t="s">
        <v>42</v>
      </c>
      <c r="C26" s="13">
        <v>270</v>
      </c>
      <c r="D26" s="12">
        <v>10401.380063</v>
      </c>
      <c r="E26" s="12">
        <f t="shared" si="1"/>
        <v>0</v>
      </c>
      <c r="F26" s="12">
        <f t="shared" si="2"/>
        <v>-102.869999999999</v>
      </c>
      <c r="G26" s="12">
        <f t="shared" si="3"/>
        <v>-7</v>
      </c>
      <c r="H26" s="12">
        <f t="shared" si="4"/>
        <v>-421.045491999999</v>
      </c>
      <c r="I26" s="12">
        <f t="shared" si="5"/>
        <v>-7</v>
      </c>
      <c r="J26" s="12">
        <f t="shared" si="6"/>
        <v>-421.045491999999</v>
      </c>
      <c r="K26" s="12">
        <f t="shared" si="18"/>
        <v>-27</v>
      </c>
      <c r="L26" s="12">
        <f t="shared" si="7"/>
        <v>-1125.055492</v>
      </c>
      <c r="M26" s="19">
        <f t="shared" si="8"/>
        <v>-2.52707581227437</v>
      </c>
      <c r="N26" s="19">
        <f t="shared" si="9"/>
        <v>-3.89049099816145</v>
      </c>
      <c r="O26" s="12">
        <f t="shared" si="10"/>
        <v>270</v>
      </c>
      <c r="P26" s="12">
        <f t="shared" si="11"/>
        <v>10401.380063</v>
      </c>
      <c r="Q26" s="12">
        <f t="shared" si="12"/>
        <v>-7</v>
      </c>
      <c r="R26" s="12">
        <f t="shared" si="13"/>
        <v>-421.045491999999</v>
      </c>
      <c r="S26" s="12">
        <f t="shared" si="14"/>
        <v>-7</v>
      </c>
      <c r="T26" s="12">
        <f t="shared" si="15"/>
        <v>-421.045491999999</v>
      </c>
      <c r="U26" s="19">
        <f t="shared" si="16"/>
        <v>-2.52707581227437</v>
      </c>
      <c r="V26" s="19">
        <f t="shared" si="17"/>
        <v>-3.89049099816145</v>
      </c>
      <c r="W26" s="12"/>
      <c r="X26" s="29"/>
      <c r="Y26" s="29"/>
      <c r="Z26" s="29"/>
      <c r="AA26" s="29"/>
      <c r="AB26" s="12"/>
      <c r="AC26" s="29"/>
      <c r="AD26" s="12"/>
      <c r="AE26" s="41">
        <v>277</v>
      </c>
      <c r="AF26" s="41">
        <v>10822.425555</v>
      </c>
      <c r="AG26" s="41">
        <v>277</v>
      </c>
      <c r="AH26" s="41">
        <v>10822.425555</v>
      </c>
      <c r="AI26" s="47">
        <v>270</v>
      </c>
      <c r="AJ26" s="47">
        <v>10504.250063</v>
      </c>
      <c r="AK26" s="47">
        <v>270</v>
      </c>
      <c r="AL26" s="47">
        <v>10504.250063</v>
      </c>
      <c r="AM26" s="41">
        <v>277</v>
      </c>
      <c r="AN26" s="41">
        <v>10822.425555</v>
      </c>
      <c r="AO26" s="41">
        <v>277</v>
      </c>
      <c r="AP26" s="49">
        <v>10822.425555</v>
      </c>
      <c r="AS26" s="1">
        <v>20</v>
      </c>
      <c r="AT26" s="1">
        <v>704.01</v>
      </c>
      <c r="AZ26" s="54">
        <v>10800</v>
      </c>
    </row>
    <row r="27" s="1" customFormat="1" ht="40" customHeight="1" spans="1:52">
      <c r="A27" s="1" t="s">
        <v>43</v>
      </c>
      <c r="B27" s="12" t="s">
        <v>43</v>
      </c>
      <c r="C27" s="13">
        <v>340</v>
      </c>
      <c r="D27" s="12">
        <v>11100.95944</v>
      </c>
      <c r="E27" s="12">
        <f t="shared" si="1"/>
        <v>-5</v>
      </c>
      <c r="F27" s="12">
        <f t="shared" si="2"/>
        <v>-163.535519999999</v>
      </c>
      <c r="G27" s="12">
        <f t="shared" si="3"/>
        <v>12</v>
      </c>
      <c r="H27" s="12">
        <f t="shared" si="4"/>
        <v>-317.505519999999</v>
      </c>
      <c r="I27" s="12">
        <f t="shared" si="5"/>
        <v>12</v>
      </c>
      <c r="J27" s="12">
        <f t="shared" si="6"/>
        <v>-317.505519999999</v>
      </c>
      <c r="K27" s="12">
        <f t="shared" si="18"/>
        <v>-20</v>
      </c>
      <c r="L27" s="12">
        <f t="shared" si="7"/>
        <v>-941.775519999999</v>
      </c>
      <c r="M27" s="19">
        <f t="shared" si="8"/>
        <v>3.65853658536585</v>
      </c>
      <c r="N27" s="19">
        <f t="shared" si="9"/>
        <v>-2.7806322575955</v>
      </c>
      <c r="O27" s="12">
        <f t="shared" si="10"/>
        <v>340</v>
      </c>
      <c r="P27" s="12">
        <f t="shared" si="11"/>
        <v>11100.95944</v>
      </c>
      <c r="Q27" s="12">
        <f t="shared" si="12"/>
        <v>12</v>
      </c>
      <c r="R27" s="12">
        <f t="shared" si="13"/>
        <v>-317.505519999999</v>
      </c>
      <c r="S27" s="12">
        <f t="shared" si="14"/>
        <v>12</v>
      </c>
      <c r="T27" s="12">
        <f t="shared" si="15"/>
        <v>-317.505519999999</v>
      </c>
      <c r="U27" s="19">
        <f t="shared" si="16"/>
        <v>3.65853658536585</v>
      </c>
      <c r="V27" s="19">
        <f t="shared" si="17"/>
        <v>-2.7806322575955</v>
      </c>
      <c r="W27" s="12"/>
      <c r="X27" s="29"/>
      <c r="Y27" s="29"/>
      <c r="Z27" s="29"/>
      <c r="AA27" s="29"/>
      <c r="AB27" s="12"/>
      <c r="AC27" s="29"/>
      <c r="AD27" s="12"/>
      <c r="AE27" s="41">
        <v>328</v>
      </c>
      <c r="AF27" s="41">
        <v>11418.46496</v>
      </c>
      <c r="AG27" s="41">
        <v>328</v>
      </c>
      <c r="AH27" s="41">
        <v>11418.46496</v>
      </c>
      <c r="AI27" s="47">
        <v>345</v>
      </c>
      <c r="AJ27" s="47">
        <v>11264.49496</v>
      </c>
      <c r="AK27" s="47">
        <v>345</v>
      </c>
      <c r="AL27" s="47">
        <v>11264.49496</v>
      </c>
      <c r="AM27" s="41">
        <v>328</v>
      </c>
      <c r="AN27" s="41">
        <v>11418.46496</v>
      </c>
      <c r="AO27" s="41">
        <v>328</v>
      </c>
      <c r="AP27" s="49">
        <v>11418.46496</v>
      </c>
      <c r="AS27" s="1">
        <v>32</v>
      </c>
      <c r="AT27" s="1">
        <v>624.27</v>
      </c>
      <c r="AZ27" s="54">
        <v>11400</v>
      </c>
    </row>
    <row r="28" s="1" customFormat="1" ht="40" customHeight="1" spans="1:52">
      <c r="A28" s="1" t="s">
        <v>44</v>
      </c>
      <c r="B28" s="12" t="s">
        <v>44</v>
      </c>
      <c r="C28" s="13">
        <v>398</v>
      </c>
      <c r="D28" s="12">
        <v>19613.835217</v>
      </c>
      <c r="E28" s="12">
        <f t="shared" si="1"/>
        <v>1</v>
      </c>
      <c r="F28" s="12">
        <f t="shared" si="2"/>
        <v>42.6899999999987</v>
      </c>
      <c r="G28" s="12">
        <f t="shared" si="3"/>
        <v>36</v>
      </c>
      <c r="H28" s="12">
        <f t="shared" si="4"/>
        <v>-437.975823000001</v>
      </c>
      <c r="I28" s="12">
        <f t="shared" si="5"/>
        <v>36</v>
      </c>
      <c r="J28" s="12">
        <f t="shared" si="6"/>
        <v>-437.975823000001</v>
      </c>
      <c r="K28" s="12">
        <f t="shared" si="18"/>
        <v>-4</v>
      </c>
      <c r="L28" s="12">
        <f t="shared" si="7"/>
        <v>-1318.705823</v>
      </c>
      <c r="M28" s="19">
        <f t="shared" si="8"/>
        <v>9.94475138121547</v>
      </c>
      <c r="N28" s="19">
        <f t="shared" si="9"/>
        <v>-2.18422077749642</v>
      </c>
      <c r="O28" s="12">
        <f t="shared" si="10"/>
        <v>398</v>
      </c>
      <c r="P28" s="12">
        <f t="shared" si="11"/>
        <v>19613.835217</v>
      </c>
      <c r="Q28" s="12">
        <f t="shared" si="12"/>
        <v>36</v>
      </c>
      <c r="R28" s="12">
        <f t="shared" si="13"/>
        <v>-437.975823000001</v>
      </c>
      <c r="S28" s="12">
        <f t="shared" si="14"/>
        <v>36</v>
      </c>
      <c r="T28" s="12">
        <f t="shared" si="15"/>
        <v>-437.975823000001</v>
      </c>
      <c r="U28" s="19">
        <f t="shared" si="16"/>
        <v>9.94475138121547</v>
      </c>
      <c r="V28" s="19">
        <f t="shared" si="17"/>
        <v>-2.18422077749642</v>
      </c>
      <c r="W28" s="12"/>
      <c r="X28" s="29"/>
      <c r="Y28" s="29"/>
      <c r="Z28" s="29"/>
      <c r="AA28" s="29"/>
      <c r="AB28" s="12"/>
      <c r="AC28" s="29"/>
      <c r="AD28" s="12"/>
      <c r="AE28" s="41">
        <v>362</v>
      </c>
      <c r="AF28" s="41">
        <v>20051.81104</v>
      </c>
      <c r="AG28" s="41">
        <v>362</v>
      </c>
      <c r="AH28" s="41">
        <v>20051.81104</v>
      </c>
      <c r="AI28" s="47">
        <v>397</v>
      </c>
      <c r="AJ28" s="47">
        <v>19571.145217</v>
      </c>
      <c r="AK28" s="47">
        <v>397</v>
      </c>
      <c r="AL28" s="47">
        <v>19571.145217</v>
      </c>
      <c r="AM28" s="41">
        <v>362</v>
      </c>
      <c r="AN28" s="41">
        <v>20051.81104</v>
      </c>
      <c r="AO28" s="41">
        <v>362</v>
      </c>
      <c r="AP28" s="49">
        <v>20051.81104</v>
      </c>
      <c r="AS28" s="1">
        <v>40</v>
      </c>
      <c r="AT28" s="1">
        <v>880.73</v>
      </c>
      <c r="AZ28" s="54">
        <v>20050</v>
      </c>
    </row>
    <row r="29" s="1" customFormat="1" ht="40" customHeight="1" spans="1:52">
      <c r="A29" s="1" t="s">
        <v>45</v>
      </c>
      <c r="B29" s="12" t="s">
        <v>45</v>
      </c>
      <c r="C29" s="13">
        <v>327</v>
      </c>
      <c r="D29" s="12">
        <v>11406.451116</v>
      </c>
      <c r="E29" s="12">
        <f t="shared" si="1"/>
        <v>3</v>
      </c>
      <c r="F29" s="12">
        <f t="shared" si="2"/>
        <v>0.692801000001054</v>
      </c>
      <c r="G29" s="12">
        <f t="shared" si="3"/>
        <v>-1</v>
      </c>
      <c r="H29" s="12">
        <f t="shared" si="4"/>
        <v>-588.211492</v>
      </c>
      <c r="I29" s="12">
        <f t="shared" si="5"/>
        <v>-1</v>
      </c>
      <c r="J29" s="12">
        <f t="shared" si="6"/>
        <v>-588.211492</v>
      </c>
      <c r="K29" s="12">
        <f t="shared" si="18"/>
        <v>-36</v>
      </c>
      <c r="L29" s="12">
        <f t="shared" si="7"/>
        <v>-1135.921492</v>
      </c>
      <c r="M29" s="19">
        <f t="shared" si="8"/>
        <v>-0.304878048780488</v>
      </c>
      <c r="N29" s="19">
        <f t="shared" si="9"/>
        <v>-4.90394362245492</v>
      </c>
      <c r="O29" s="12">
        <f t="shared" si="10"/>
        <v>327</v>
      </c>
      <c r="P29" s="12">
        <f t="shared" si="11"/>
        <v>11406.451116</v>
      </c>
      <c r="Q29" s="12">
        <f t="shared" si="12"/>
        <v>-1</v>
      </c>
      <c r="R29" s="12">
        <f t="shared" si="13"/>
        <v>-588.211492</v>
      </c>
      <c r="S29" s="12">
        <f t="shared" si="14"/>
        <v>-1</v>
      </c>
      <c r="T29" s="12">
        <f t="shared" si="15"/>
        <v>-588.211492</v>
      </c>
      <c r="U29" s="19">
        <f t="shared" si="16"/>
        <v>-0.304878048780488</v>
      </c>
      <c r="V29" s="19">
        <f t="shared" si="17"/>
        <v>-4.90394362245492</v>
      </c>
      <c r="W29" s="12"/>
      <c r="X29" s="29"/>
      <c r="Y29" s="29"/>
      <c r="Z29" s="29"/>
      <c r="AA29" s="29"/>
      <c r="AB29" s="12"/>
      <c r="AC29" s="29"/>
      <c r="AD29" s="12"/>
      <c r="AE29" s="41">
        <v>328</v>
      </c>
      <c r="AF29" s="41">
        <v>11994.662608</v>
      </c>
      <c r="AG29" s="41">
        <v>328</v>
      </c>
      <c r="AH29" s="41">
        <v>11994.662608</v>
      </c>
      <c r="AI29" s="47">
        <v>324</v>
      </c>
      <c r="AJ29" s="47">
        <v>11405.758315</v>
      </c>
      <c r="AK29" s="47">
        <v>324</v>
      </c>
      <c r="AL29" s="47">
        <v>11405.758315</v>
      </c>
      <c r="AM29" s="41">
        <v>328</v>
      </c>
      <c r="AN29" s="41">
        <v>11994.662608</v>
      </c>
      <c r="AO29" s="41">
        <v>328</v>
      </c>
      <c r="AP29" s="49">
        <v>11994.662608</v>
      </c>
      <c r="AS29" s="1">
        <v>35</v>
      </c>
      <c r="AT29" s="1">
        <v>547.710000000001</v>
      </c>
      <c r="AZ29" s="54">
        <v>11980</v>
      </c>
    </row>
    <row r="30" s="1" customFormat="1" ht="40" customHeight="1" spans="1:52">
      <c r="A30" s="1" t="s">
        <v>46</v>
      </c>
      <c r="B30" s="12" t="s">
        <v>46</v>
      </c>
      <c r="C30" s="13">
        <v>356</v>
      </c>
      <c r="D30" s="12">
        <v>9418.80815</v>
      </c>
      <c r="E30" s="12">
        <f t="shared" si="1"/>
        <v>2</v>
      </c>
      <c r="F30" s="12">
        <f t="shared" si="2"/>
        <v>-157.49</v>
      </c>
      <c r="G30" s="12">
        <f t="shared" si="3"/>
        <v>33</v>
      </c>
      <c r="H30" s="12">
        <f t="shared" si="4"/>
        <v>299.570000000002</v>
      </c>
      <c r="I30" s="12">
        <f t="shared" si="5"/>
        <v>33</v>
      </c>
      <c r="J30" s="12">
        <f t="shared" si="6"/>
        <v>299.570000000002</v>
      </c>
      <c r="K30" s="12">
        <f t="shared" si="18"/>
        <v>-62</v>
      </c>
      <c r="L30" s="12">
        <f t="shared" si="7"/>
        <v>-720.569999999998</v>
      </c>
      <c r="M30" s="19">
        <f t="shared" si="8"/>
        <v>10.2167182662539</v>
      </c>
      <c r="N30" s="19">
        <f t="shared" si="9"/>
        <v>3.28503319106763</v>
      </c>
      <c r="O30" s="12">
        <f t="shared" si="10"/>
        <v>356</v>
      </c>
      <c r="P30" s="12">
        <f t="shared" si="11"/>
        <v>9418.80815</v>
      </c>
      <c r="Q30" s="12">
        <f t="shared" si="12"/>
        <v>33</v>
      </c>
      <c r="R30" s="12">
        <f t="shared" si="13"/>
        <v>299.570000000002</v>
      </c>
      <c r="S30" s="12">
        <f t="shared" si="14"/>
        <v>33</v>
      </c>
      <c r="T30" s="12">
        <f t="shared" si="15"/>
        <v>299.570000000002</v>
      </c>
      <c r="U30" s="19">
        <f t="shared" si="16"/>
        <v>10.2167182662539</v>
      </c>
      <c r="V30" s="19">
        <f t="shared" si="17"/>
        <v>3.28503319106763</v>
      </c>
      <c r="W30" s="12"/>
      <c r="X30" s="29"/>
      <c r="Y30" s="29"/>
      <c r="Z30" s="29"/>
      <c r="AA30" s="29"/>
      <c r="AB30" s="12"/>
      <c r="AC30" s="29"/>
      <c r="AD30" s="12"/>
      <c r="AE30" s="41">
        <v>323</v>
      </c>
      <c r="AF30" s="41">
        <v>9119.23815</v>
      </c>
      <c r="AG30" s="41">
        <v>323</v>
      </c>
      <c r="AH30" s="41">
        <v>9119.23815</v>
      </c>
      <c r="AI30" s="47">
        <v>354</v>
      </c>
      <c r="AJ30" s="47">
        <v>9576.29815</v>
      </c>
      <c r="AK30" s="47">
        <v>354</v>
      </c>
      <c r="AL30" s="47">
        <v>9576.29815</v>
      </c>
      <c r="AM30" s="41">
        <v>323</v>
      </c>
      <c r="AN30" s="41">
        <v>9119.23815</v>
      </c>
      <c r="AO30" s="41">
        <v>323</v>
      </c>
      <c r="AP30" s="49">
        <v>9119.23815</v>
      </c>
      <c r="AS30" s="1">
        <v>95</v>
      </c>
      <c r="AT30" s="1">
        <v>1020.14</v>
      </c>
      <c r="AZ30" s="54">
        <v>9092.326156</v>
      </c>
    </row>
    <row r="31" s="1" customFormat="1" ht="40" customHeight="1" spans="1:52">
      <c r="A31" s="1" t="s">
        <v>47</v>
      </c>
      <c r="B31" s="12" t="s">
        <v>47</v>
      </c>
      <c r="C31" s="13">
        <v>375</v>
      </c>
      <c r="D31" s="12">
        <v>10846.842056</v>
      </c>
      <c r="E31" s="12">
        <f t="shared" si="1"/>
        <v>-1</v>
      </c>
      <c r="F31" s="12">
        <f t="shared" si="2"/>
        <v>-37.8179820000005</v>
      </c>
      <c r="G31" s="12">
        <f t="shared" si="3"/>
        <v>10</v>
      </c>
      <c r="H31" s="12">
        <f t="shared" si="4"/>
        <v>-234.667679</v>
      </c>
      <c r="I31" s="12">
        <f t="shared" si="5"/>
        <v>10</v>
      </c>
      <c r="J31" s="12">
        <f t="shared" si="6"/>
        <v>-234.667679</v>
      </c>
      <c r="K31" s="12">
        <f t="shared" si="18"/>
        <v>-38</v>
      </c>
      <c r="L31" s="12">
        <f t="shared" si="7"/>
        <v>-744.637679000001</v>
      </c>
      <c r="M31" s="19">
        <f t="shared" si="8"/>
        <v>2.73972602739726</v>
      </c>
      <c r="N31" s="19">
        <f t="shared" si="9"/>
        <v>-2.1176507949889</v>
      </c>
      <c r="O31" s="12">
        <f t="shared" si="10"/>
        <v>375</v>
      </c>
      <c r="P31" s="12">
        <f t="shared" si="11"/>
        <v>10846.842056</v>
      </c>
      <c r="Q31" s="12">
        <f t="shared" si="12"/>
        <v>10</v>
      </c>
      <c r="R31" s="12">
        <f t="shared" si="13"/>
        <v>-234.667679</v>
      </c>
      <c r="S31" s="12">
        <f t="shared" si="14"/>
        <v>10</v>
      </c>
      <c r="T31" s="12">
        <f t="shared" si="15"/>
        <v>-234.667679</v>
      </c>
      <c r="U31" s="19">
        <f t="shared" si="16"/>
        <v>2.73972602739726</v>
      </c>
      <c r="V31" s="19">
        <f t="shared" si="17"/>
        <v>-2.1176507949889</v>
      </c>
      <c r="W31" s="12"/>
      <c r="X31" s="29"/>
      <c r="Y31" s="29"/>
      <c r="Z31" s="29"/>
      <c r="AA31" s="29"/>
      <c r="AB31" s="12"/>
      <c r="AC31" s="29"/>
      <c r="AD31" s="12"/>
      <c r="AE31" s="41">
        <v>365</v>
      </c>
      <c r="AF31" s="41">
        <v>11081.509735</v>
      </c>
      <c r="AG31" s="41">
        <v>365</v>
      </c>
      <c r="AH31" s="41">
        <v>11081.509735</v>
      </c>
      <c r="AI31" s="47">
        <v>376</v>
      </c>
      <c r="AJ31" s="47">
        <v>10884.660038</v>
      </c>
      <c r="AK31" s="47">
        <v>376</v>
      </c>
      <c r="AL31" s="47">
        <v>10884.660038</v>
      </c>
      <c r="AM31" s="41">
        <v>365</v>
      </c>
      <c r="AN31" s="41">
        <v>11081.509735</v>
      </c>
      <c r="AO31" s="41">
        <v>365</v>
      </c>
      <c r="AP31" s="49">
        <v>11081.509735</v>
      </c>
      <c r="AS31" s="1">
        <v>48</v>
      </c>
      <c r="AT31" s="1">
        <v>509.970000000001</v>
      </c>
      <c r="AZ31" s="54">
        <v>11101</v>
      </c>
    </row>
    <row r="32" s="1" customFormat="1" ht="40" customHeight="1" spans="1:52">
      <c r="A32" s="1" t="s">
        <v>48</v>
      </c>
      <c r="B32" s="12" t="s">
        <v>48</v>
      </c>
      <c r="C32" s="13">
        <v>519</v>
      </c>
      <c r="D32" s="12">
        <v>12611.107732</v>
      </c>
      <c r="E32" s="12">
        <f t="shared" si="1"/>
        <v>2</v>
      </c>
      <c r="F32" s="12">
        <f t="shared" si="2"/>
        <v>-21.9988529999991</v>
      </c>
      <c r="G32" s="12">
        <f t="shared" si="3"/>
        <v>19</v>
      </c>
      <c r="H32" s="12">
        <f t="shared" si="4"/>
        <v>160.442230000001</v>
      </c>
      <c r="I32" s="12">
        <f t="shared" si="5"/>
        <v>19</v>
      </c>
      <c r="J32" s="12">
        <f t="shared" si="6"/>
        <v>160.442230000001</v>
      </c>
      <c r="K32" s="12">
        <f t="shared" si="18"/>
        <v>-41</v>
      </c>
      <c r="L32" s="12">
        <f t="shared" si="7"/>
        <v>-191.447769999998</v>
      </c>
      <c r="M32" s="19">
        <f t="shared" si="8"/>
        <v>3.8</v>
      </c>
      <c r="N32" s="19">
        <f t="shared" si="9"/>
        <v>1.28862372838005</v>
      </c>
      <c r="O32" s="12">
        <f t="shared" si="10"/>
        <v>519</v>
      </c>
      <c r="P32" s="12">
        <f t="shared" si="11"/>
        <v>12611.107732</v>
      </c>
      <c r="Q32" s="12">
        <f t="shared" si="12"/>
        <v>19</v>
      </c>
      <c r="R32" s="12">
        <f t="shared" si="13"/>
        <v>160.442230000001</v>
      </c>
      <c r="S32" s="30">
        <f t="shared" si="14"/>
        <v>19</v>
      </c>
      <c r="T32" s="12">
        <f t="shared" si="15"/>
        <v>160.442230000001</v>
      </c>
      <c r="U32" s="19">
        <f t="shared" si="16"/>
        <v>3.8</v>
      </c>
      <c r="V32" s="19">
        <f t="shared" si="17"/>
        <v>1.28862372838005</v>
      </c>
      <c r="W32" s="12"/>
      <c r="X32" s="29"/>
      <c r="Y32" s="29"/>
      <c r="Z32" s="29"/>
      <c r="AA32" s="29"/>
      <c r="AB32" s="12"/>
      <c r="AC32" s="29"/>
      <c r="AD32" s="12"/>
      <c r="AE32" s="41">
        <v>500</v>
      </c>
      <c r="AF32" s="41">
        <v>12450.665502</v>
      </c>
      <c r="AG32" s="41">
        <v>500</v>
      </c>
      <c r="AH32" s="41">
        <v>12450.665502</v>
      </c>
      <c r="AI32" s="47">
        <v>517</v>
      </c>
      <c r="AJ32" s="47">
        <v>12633.106585</v>
      </c>
      <c r="AK32" s="47">
        <v>517</v>
      </c>
      <c r="AL32" s="47">
        <v>12633.106585</v>
      </c>
      <c r="AM32" s="41">
        <v>500</v>
      </c>
      <c r="AN32" s="41">
        <v>12450.665502</v>
      </c>
      <c r="AO32" s="41">
        <v>500</v>
      </c>
      <c r="AP32" s="49">
        <v>12450.665502</v>
      </c>
      <c r="AS32" s="1">
        <v>60</v>
      </c>
      <c r="AT32" s="1">
        <v>351.889999999999</v>
      </c>
      <c r="AZ32" s="54">
        <v>12471</v>
      </c>
    </row>
    <row r="33" s="1" customFormat="1" ht="40" customHeight="1" spans="1:52">
      <c r="A33" s="1" t="s">
        <v>49</v>
      </c>
      <c r="B33" s="12" t="s">
        <v>49</v>
      </c>
      <c r="C33" s="13">
        <v>2126</v>
      </c>
      <c r="D33" s="12">
        <v>96402.175879</v>
      </c>
      <c r="E33" s="12">
        <f t="shared" si="1"/>
        <v>0</v>
      </c>
      <c r="F33" s="12">
        <f t="shared" si="2"/>
        <v>-78.9600309999951</v>
      </c>
      <c r="G33" s="12">
        <f t="shared" si="3"/>
        <v>-14</v>
      </c>
      <c r="H33" s="12">
        <f t="shared" si="4"/>
        <v>-2324.6539649999</v>
      </c>
      <c r="I33" s="12">
        <f t="shared" si="5"/>
        <v>-14</v>
      </c>
      <c r="J33" s="12">
        <f t="shared" si="6"/>
        <v>-2324.6539649999</v>
      </c>
      <c r="K33" s="12">
        <f t="shared" si="18"/>
        <v>-45</v>
      </c>
      <c r="L33" s="12">
        <f t="shared" si="7"/>
        <v>-983.733964999903</v>
      </c>
      <c r="M33" s="19">
        <f t="shared" si="8"/>
        <v>-0.654205607476636</v>
      </c>
      <c r="N33" s="19">
        <f t="shared" si="9"/>
        <v>-2.35463244254184</v>
      </c>
      <c r="O33" s="12">
        <f t="shared" si="10"/>
        <v>2126</v>
      </c>
      <c r="P33" s="12">
        <f t="shared" si="11"/>
        <v>96402.175879</v>
      </c>
      <c r="Q33" s="12">
        <f t="shared" si="12"/>
        <v>-14</v>
      </c>
      <c r="R33" s="12">
        <f t="shared" si="13"/>
        <v>-2324.6539649999</v>
      </c>
      <c r="S33" s="30">
        <f t="shared" si="14"/>
        <v>-14</v>
      </c>
      <c r="T33" s="12">
        <f t="shared" si="15"/>
        <v>-2324.6539649999</v>
      </c>
      <c r="U33" s="19">
        <f t="shared" si="16"/>
        <v>-0.654205607476636</v>
      </c>
      <c r="V33" s="19">
        <f t="shared" si="17"/>
        <v>-2.35463244254184</v>
      </c>
      <c r="W33" s="12"/>
      <c r="X33" s="29"/>
      <c r="Y33" s="29"/>
      <c r="Z33" s="29"/>
      <c r="AA33" s="29"/>
      <c r="AB33" s="12"/>
      <c r="AC33" s="29"/>
      <c r="AD33" s="12"/>
      <c r="AE33" s="41">
        <v>2140</v>
      </c>
      <c r="AF33" s="41">
        <v>98726.8298439999</v>
      </c>
      <c r="AG33" s="41">
        <v>2140</v>
      </c>
      <c r="AH33" s="41">
        <v>98726.8298439999</v>
      </c>
      <c r="AI33" s="47">
        <v>2126</v>
      </c>
      <c r="AJ33" s="47">
        <v>96481.13591</v>
      </c>
      <c r="AK33" s="47">
        <v>2126</v>
      </c>
      <c r="AL33" s="47">
        <v>96481.13591</v>
      </c>
      <c r="AM33" s="41">
        <v>2140</v>
      </c>
      <c r="AN33" s="41">
        <v>98726.8298439999</v>
      </c>
      <c r="AO33" s="41">
        <v>2140</v>
      </c>
      <c r="AP33" s="49">
        <v>98726.8298439999</v>
      </c>
      <c r="AS33" s="1">
        <v>31</v>
      </c>
      <c r="AT33" s="1">
        <v>-1340.92</v>
      </c>
      <c r="AZ33" s="54">
        <v>98680.6033879999</v>
      </c>
    </row>
    <row r="34" s="1" customFormat="1" ht="40" customHeight="1" spans="1:52">
      <c r="A34" s="1" t="s">
        <v>50</v>
      </c>
      <c r="B34" s="12" t="s">
        <v>50</v>
      </c>
      <c r="C34" s="13">
        <v>616</v>
      </c>
      <c r="D34" s="12">
        <v>27480.064428</v>
      </c>
      <c r="E34" s="12">
        <f t="shared" si="1"/>
        <v>3</v>
      </c>
      <c r="F34" s="12">
        <f t="shared" si="2"/>
        <v>107.811400000002</v>
      </c>
      <c r="G34" s="12">
        <f t="shared" si="3"/>
        <v>7</v>
      </c>
      <c r="H34" s="12">
        <f t="shared" si="4"/>
        <v>199.360618000002</v>
      </c>
      <c r="I34" s="12">
        <f t="shared" si="5"/>
        <v>7</v>
      </c>
      <c r="J34" s="12">
        <f t="shared" si="6"/>
        <v>199.360618000002</v>
      </c>
      <c r="K34" s="12">
        <f t="shared" si="18"/>
        <v>-25</v>
      </c>
      <c r="L34" s="12">
        <f t="shared" si="7"/>
        <v>-1056.159382</v>
      </c>
      <c r="M34" s="19">
        <f t="shared" si="8"/>
        <v>1.14942528735632</v>
      </c>
      <c r="N34" s="19">
        <f t="shared" si="9"/>
        <v>0.730775200627063</v>
      </c>
      <c r="O34" s="12">
        <f t="shared" si="10"/>
        <v>616</v>
      </c>
      <c r="P34" s="12">
        <f t="shared" si="11"/>
        <v>27480.064428</v>
      </c>
      <c r="Q34" s="12">
        <f t="shared" si="12"/>
        <v>7</v>
      </c>
      <c r="R34" s="12">
        <f t="shared" si="13"/>
        <v>199.360618000002</v>
      </c>
      <c r="S34" s="12">
        <f t="shared" si="14"/>
        <v>7</v>
      </c>
      <c r="T34" s="12">
        <f t="shared" si="15"/>
        <v>199.360618000002</v>
      </c>
      <c r="U34" s="19">
        <f t="shared" si="16"/>
        <v>1.14942528735632</v>
      </c>
      <c r="V34" s="19">
        <f t="shared" si="17"/>
        <v>0.730775200627063</v>
      </c>
      <c r="W34" s="12"/>
      <c r="X34" s="29"/>
      <c r="Y34" s="29"/>
      <c r="Z34" s="29"/>
      <c r="AA34" s="29"/>
      <c r="AB34" s="12"/>
      <c r="AC34" s="29"/>
      <c r="AD34" s="12"/>
      <c r="AE34" s="41">
        <v>609</v>
      </c>
      <c r="AF34" s="41">
        <v>27280.70381</v>
      </c>
      <c r="AG34" s="41">
        <v>609</v>
      </c>
      <c r="AH34" s="41">
        <v>27280.70381</v>
      </c>
      <c r="AI34" s="47">
        <v>613</v>
      </c>
      <c r="AJ34" s="47">
        <v>27372.253028</v>
      </c>
      <c r="AK34" s="47">
        <v>613</v>
      </c>
      <c r="AL34" s="47">
        <v>27372.253028</v>
      </c>
      <c r="AM34" s="41">
        <v>609</v>
      </c>
      <c r="AN34" s="41">
        <v>27280.70381</v>
      </c>
      <c r="AO34" s="41">
        <v>609</v>
      </c>
      <c r="AP34" s="49">
        <v>27280.70381</v>
      </c>
      <c r="AS34" s="1">
        <v>32</v>
      </c>
      <c r="AT34" s="1">
        <v>1255.52</v>
      </c>
      <c r="AZ34" s="54">
        <v>27251.284605</v>
      </c>
    </row>
    <row r="35" s="1" customFormat="1" ht="40" customHeight="1" spans="1:52">
      <c r="A35" s="1" t="s">
        <v>51</v>
      </c>
      <c r="B35" s="12" t="s">
        <v>52</v>
      </c>
      <c r="C35" s="13">
        <v>2502</v>
      </c>
      <c r="D35" s="12">
        <v>96491</v>
      </c>
      <c r="E35" s="12">
        <f t="shared" si="1"/>
        <v>-5</v>
      </c>
      <c r="F35" s="12">
        <f t="shared" si="2"/>
        <v>-171</v>
      </c>
      <c r="G35" s="12">
        <f t="shared" si="3"/>
        <v>-19</v>
      </c>
      <c r="H35" s="12">
        <f t="shared" si="4"/>
        <v>-913</v>
      </c>
      <c r="I35" s="12">
        <f t="shared" si="5"/>
        <v>-19</v>
      </c>
      <c r="J35" s="12">
        <f t="shared" si="6"/>
        <v>-913</v>
      </c>
      <c r="K35" s="12">
        <f t="shared" si="18"/>
        <v>-142</v>
      </c>
      <c r="L35" s="12">
        <f t="shared" si="7"/>
        <v>-6227</v>
      </c>
      <c r="M35" s="19">
        <f t="shared" si="8"/>
        <v>-0.753669178897263</v>
      </c>
      <c r="N35" s="19">
        <f t="shared" si="9"/>
        <v>-0.937333169069032</v>
      </c>
      <c r="O35" s="12">
        <f t="shared" si="10"/>
        <v>2502</v>
      </c>
      <c r="P35" s="12">
        <f t="shared" si="11"/>
        <v>96491</v>
      </c>
      <c r="Q35" s="12">
        <f t="shared" si="12"/>
        <v>-19</v>
      </c>
      <c r="R35" s="12">
        <f t="shared" si="13"/>
        <v>-913</v>
      </c>
      <c r="S35" s="12">
        <f t="shared" si="14"/>
        <v>-19</v>
      </c>
      <c r="T35" s="12">
        <f t="shared" si="15"/>
        <v>-913</v>
      </c>
      <c r="U35" s="19">
        <f t="shared" si="16"/>
        <v>-0.753669178897263</v>
      </c>
      <c r="V35" s="19">
        <f t="shared" si="17"/>
        <v>-0.937333169069032</v>
      </c>
      <c r="W35" s="12"/>
      <c r="X35" s="29"/>
      <c r="Y35" s="29"/>
      <c r="Z35" s="29"/>
      <c r="AA35" s="29"/>
      <c r="AB35" s="12"/>
      <c r="AC35" s="29"/>
      <c r="AD35" s="12"/>
      <c r="AE35" s="41">
        <v>2521</v>
      </c>
      <c r="AF35" s="41">
        <v>97404</v>
      </c>
      <c r="AG35" s="41">
        <v>2521</v>
      </c>
      <c r="AH35" s="41">
        <v>97404</v>
      </c>
      <c r="AI35" s="47">
        <v>2507</v>
      </c>
      <c r="AJ35" s="47">
        <v>96662</v>
      </c>
      <c r="AK35" s="47">
        <v>2507</v>
      </c>
      <c r="AL35" s="47">
        <v>96662</v>
      </c>
      <c r="AM35" s="41">
        <v>2521</v>
      </c>
      <c r="AN35" s="41">
        <v>97404</v>
      </c>
      <c r="AO35" s="41">
        <v>2521</v>
      </c>
      <c r="AP35" s="49">
        <v>97404</v>
      </c>
      <c r="AS35" s="53">
        <v>123</v>
      </c>
      <c r="AT35" s="53">
        <v>5314</v>
      </c>
      <c r="AZ35" s="54">
        <v>181930</v>
      </c>
    </row>
    <row r="36" s="1" customFormat="1" ht="40" customHeight="1" spans="2:52">
      <c r="B36" s="14" t="s">
        <v>53</v>
      </c>
      <c r="C36" s="13">
        <v>2542</v>
      </c>
      <c r="D36" s="12">
        <v>84489</v>
      </c>
      <c r="E36" s="12">
        <f t="shared" si="1"/>
        <v>1</v>
      </c>
      <c r="F36" s="12">
        <f t="shared" si="2"/>
        <v>-4</v>
      </c>
      <c r="G36" s="12">
        <f t="shared" si="3"/>
        <v>-1</v>
      </c>
      <c r="H36" s="12">
        <f t="shared" si="4"/>
        <v>-76</v>
      </c>
      <c r="I36" s="12">
        <f t="shared" si="5"/>
        <v>-1</v>
      </c>
      <c r="J36" s="12">
        <f t="shared" si="6"/>
        <v>-76</v>
      </c>
      <c r="K36" s="12">
        <f t="shared" si="18"/>
        <v>-4</v>
      </c>
      <c r="L36" s="12">
        <f t="shared" si="7"/>
        <v>-82</v>
      </c>
      <c r="M36" s="19">
        <f t="shared" si="8"/>
        <v>-0.0393236335037357</v>
      </c>
      <c r="N36" s="19">
        <f t="shared" si="9"/>
        <v>-0.0898716963282682</v>
      </c>
      <c r="O36" s="12">
        <f t="shared" si="10"/>
        <v>2542</v>
      </c>
      <c r="P36" s="12">
        <f t="shared" si="11"/>
        <v>84489</v>
      </c>
      <c r="Q36" s="12">
        <f t="shared" si="12"/>
        <v>-1</v>
      </c>
      <c r="R36" s="12">
        <f t="shared" si="13"/>
        <v>-76</v>
      </c>
      <c r="S36" s="12">
        <f t="shared" si="14"/>
        <v>-1</v>
      </c>
      <c r="T36" s="12">
        <f t="shared" si="15"/>
        <v>-76</v>
      </c>
      <c r="U36" s="19">
        <f t="shared" si="16"/>
        <v>-0.0393236335037357</v>
      </c>
      <c r="V36" s="19">
        <f t="shared" si="17"/>
        <v>-0.0898716963282682</v>
      </c>
      <c r="W36" s="12"/>
      <c r="X36" s="29"/>
      <c r="Y36" s="29"/>
      <c r="Z36" s="29"/>
      <c r="AA36" s="29"/>
      <c r="AB36" s="12"/>
      <c r="AC36" s="29"/>
      <c r="AD36" s="12"/>
      <c r="AE36" s="41">
        <v>2543</v>
      </c>
      <c r="AF36" s="41">
        <v>84565</v>
      </c>
      <c r="AG36" s="41">
        <v>2543</v>
      </c>
      <c r="AH36" s="49">
        <v>84565</v>
      </c>
      <c r="AI36" s="47">
        <v>2541</v>
      </c>
      <c r="AJ36" s="47">
        <v>84493</v>
      </c>
      <c r="AK36" s="47">
        <v>2541</v>
      </c>
      <c r="AL36" s="47">
        <v>84493</v>
      </c>
      <c r="AM36" s="41">
        <v>2543</v>
      </c>
      <c r="AN36" s="41">
        <v>84565</v>
      </c>
      <c r="AO36" s="41">
        <v>2543</v>
      </c>
      <c r="AP36" s="49">
        <v>84565</v>
      </c>
      <c r="AS36" s="53">
        <v>3</v>
      </c>
      <c r="AT36" s="53">
        <v>6</v>
      </c>
      <c r="AZ36" s="54"/>
    </row>
    <row r="37" s="1" customFormat="1" ht="40" customHeight="1" spans="1:52">
      <c r="A37" s="1" t="s">
        <v>54</v>
      </c>
      <c r="B37" s="12" t="s">
        <v>55</v>
      </c>
      <c r="C37" s="13">
        <v>307</v>
      </c>
      <c r="D37" s="12">
        <v>13641.738856</v>
      </c>
      <c r="E37" s="12">
        <f t="shared" si="1"/>
        <v>-1</v>
      </c>
      <c r="F37" s="12">
        <f t="shared" si="2"/>
        <v>-326.76</v>
      </c>
      <c r="G37" s="12">
        <f t="shared" si="3"/>
        <v>14</v>
      </c>
      <c r="H37" s="12">
        <f t="shared" si="4"/>
        <v>-11.4400000000005</v>
      </c>
      <c r="I37" s="12">
        <f t="shared" si="5"/>
        <v>14</v>
      </c>
      <c r="J37" s="12">
        <f t="shared" si="6"/>
        <v>-11.4400000000005</v>
      </c>
      <c r="K37" s="12">
        <f t="shared" si="18"/>
        <v>-30</v>
      </c>
      <c r="L37" s="12">
        <f t="shared" si="7"/>
        <v>-1017.05</v>
      </c>
      <c r="M37" s="19">
        <f t="shared" si="8"/>
        <v>4.77815699658703</v>
      </c>
      <c r="N37" s="19">
        <f t="shared" si="9"/>
        <v>-0.0837900105217849</v>
      </c>
      <c r="O37" s="12">
        <f t="shared" si="10"/>
        <v>307</v>
      </c>
      <c r="P37" s="12">
        <f t="shared" si="11"/>
        <v>13641.738856</v>
      </c>
      <c r="Q37" s="12">
        <f t="shared" si="12"/>
        <v>14</v>
      </c>
      <c r="R37" s="12">
        <f t="shared" si="13"/>
        <v>-11.4400000000005</v>
      </c>
      <c r="S37" s="12">
        <f t="shared" si="14"/>
        <v>14</v>
      </c>
      <c r="T37" s="12">
        <f t="shared" si="15"/>
        <v>-11.4400000000005</v>
      </c>
      <c r="U37" s="19">
        <f t="shared" si="16"/>
        <v>4.77815699658703</v>
      </c>
      <c r="V37" s="19">
        <f t="shared" si="17"/>
        <v>-0.0837900105217849</v>
      </c>
      <c r="W37" s="12"/>
      <c r="X37" s="29"/>
      <c r="Y37" s="29"/>
      <c r="Z37" s="29"/>
      <c r="AA37" s="29"/>
      <c r="AB37" s="12"/>
      <c r="AC37" s="29"/>
      <c r="AD37" s="12"/>
      <c r="AE37" s="41">
        <v>293</v>
      </c>
      <c r="AF37" s="41">
        <v>13653.178856</v>
      </c>
      <c r="AG37" s="41">
        <v>293</v>
      </c>
      <c r="AH37" s="49">
        <v>13653.178856</v>
      </c>
      <c r="AI37" s="47">
        <v>308</v>
      </c>
      <c r="AJ37" s="47">
        <v>13968.498856</v>
      </c>
      <c r="AK37" s="47">
        <v>308</v>
      </c>
      <c r="AL37" s="47">
        <v>13968.498856</v>
      </c>
      <c r="AM37" s="41">
        <v>293</v>
      </c>
      <c r="AN37" s="41">
        <v>13653.178856</v>
      </c>
      <c r="AO37" s="41">
        <v>293</v>
      </c>
      <c r="AP37" s="49">
        <v>13653.178856</v>
      </c>
      <c r="AS37" s="1">
        <v>44</v>
      </c>
      <c r="AT37" s="1">
        <v>1005.61</v>
      </c>
      <c r="AZ37" s="54">
        <v>13650</v>
      </c>
    </row>
    <row r="38" s="1" customFormat="1" ht="40" customHeight="1" spans="1:52">
      <c r="A38" s="1" t="s">
        <v>56</v>
      </c>
      <c r="B38" s="12" t="s">
        <v>57</v>
      </c>
      <c r="C38" s="13">
        <v>442</v>
      </c>
      <c r="D38" s="12">
        <v>19530.213104</v>
      </c>
      <c r="E38" s="12">
        <f t="shared" si="1"/>
        <v>-1</v>
      </c>
      <c r="F38" s="12">
        <f t="shared" si="2"/>
        <v>-150.433059000003</v>
      </c>
      <c r="G38" s="12">
        <f t="shared" si="3"/>
        <v>-2</v>
      </c>
      <c r="H38" s="12">
        <f t="shared" si="4"/>
        <v>-198.511998000002</v>
      </c>
      <c r="I38" s="12">
        <f t="shared" si="5"/>
        <v>-2</v>
      </c>
      <c r="J38" s="12">
        <f t="shared" si="6"/>
        <v>-198.511998000002</v>
      </c>
      <c r="K38" s="12">
        <f t="shared" si="18"/>
        <v>-42</v>
      </c>
      <c r="L38" s="12">
        <f t="shared" si="7"/>
        <v>-1217.511998</v>
      </c>
      <c r="M38" s="19">
        <f t="shared" si="8"/>
        <v>-0.45045045045045</v>
      </c>
      <c r="N38" s="19">
        <f t="shared" si="9"/>
        <v>-1.00620793778447</v>
      </c>
      <c r="O38" s="12">
        <f t="shared" si="10"/>
        <v>442</v>
      </c>
      <c r="P38" s="12">
        <f t="shared" si="11"/>
        <v>19530.213104</v>
      </c>
      <c r="Q38" s="12">
        <f t="shared" si="12"/>
        <v>-2</v>
      </c>
      <c r="R38" s="12">
        <f t="shared" si="13"/>
        <v>-198.511998000002</v>
      </c>
      <c r="S38" s="12">
        <f t="shared" si="14"/>
        <v>-2</v>
      </c>
      <c r="T38" s="12">
        <f t="shared" si="15"/>
        <v>-198.511998000002</v>
      </c>
      <c r="U38" s="19">
        <f t="shared" si="16"/>
        <v>-0.45045045045045</v>
      </c>
      <c r="V38" s="19">
        <f t="shared" si="17"/>
        <v>-1.00620793778447</v>
      </c>
      <c r="W38" s="12"/>
      <c r="X38" s="29"/>
      <c r="Y38" s="29"/>
      <c r="Z38" s="29"/>
      <c r="AA38" s="29"/>
      <c r="AB38" s="12"/>
      <c r="AC38" s="29"/>
      <c r="AD38" s="12"/>
      <c r="AE38" s="41">
        <v>444</v>
      </c>
      <c r="AF38" s="41">
        <v>19728.725102</v>
      </c>
      <c r="AG38" s="41">
        <v>444</v>
      </c>
      <c r="AH38" s="49">
        <v>19728.725102</v>
      </c>
      <c r="AI38" s="47">
        <v>443</v>
      </c>
      <c r="AJ38" s="47">
        <v>19680.646163</v>
      </c>
      <c r="AK38" s="47">
        <v>443</v>
      </c>
      <c r="AL38" s="47">
        <v>19680.646163</v>
      </c>
      <c r="AM38" s="41">
        <v>444</v>
      </c>
      <c r="AN38" s="41">
        <v>19728.725102</v>
      </c>
      <c r="AO38" s="41">
        <v>444</v>
      </c>
      <c r="AP38" s="49">
        <v>19728.725102</v>
      </c>
      <c r="AS38" s="1">
        <v>40</v>
      </c>
      <c r="AT38" s="1">
        <v>1019</v>
      </c>
      <c r="AZ38" s="54">
        <v>19670</v>
      </c>
    </row>
    <row r="39" s="1" customFormat="1" ht="40" customHeight="1" spans="1:52">
      <c r="A39" s="1" t="s">
        <v>58</v>
      </c>
      <c r="B39" s="12" t="s">
        <v>59</v>
      </c>
      <c r="C39" s="13">
        <v>419</v>
      </c>
      <c r="D39" s="12">
        <v>18207.514245</v>
      </c>
      <c r="E39" s="12">
        <f t="shared" si="1"/>
        <v>1</v>
      </c>
      <c r="F39" s="12">
        <f t="shared" si="2"/>
        <v>7.48999999999796</v>
      </c>
      <c r="G39" s="12">
        <f t="shared" si="3"/>
        <v>15</v>
      </c>
      <c r="H39" s="12">
        <f t="shared" si="4"/>
        <v>649.075761999997</v>
      </c>
      <c r="I39" s="12">
        <f t="shared" si="5"/>
        <v>15</v>
      </c>
      <c r="J39" s="12">
        <f t="shared" si="6"/>
        <v>649.075761999997</v>
      </c>
      <c r="K39" s="12">
        <f t="shared" si="18"/>
        <v>-3</v>
      </c>
      <c r="L39" s="12">
        <f t="shared" si="7"/>
        <v>-352.104238000003</v>
      </c>
      <c r="M39" s="19">
        <f t="shared" si="8"/>
        <v>3.71287128712871</v>
      </c>
      <c r="N39" s="19">
        <f t="shared" si="9"/>
        <v>3.69665994290112</v>
      </c>
      <c r="O39" s="12">
        <f t="shared" si="10"/>
        <v>419</v>
      </c>
      <c r="P39" s="12">
        <f t="shared" si="11"/>
        <v>18207.514245</v>
      </c>
      <c r="Q39" s="12">
        <f t="shared" si="12"/>
        <v>15</v>
      </c>
      <c r="R39" s="12">
        <f t="shared" si="13"/>
        <v>649.075761999997</v>
      </c>
      <c r="S39" s="12">
        <f t="shared" si="14"/>
        <v>15</v>
      </c>
      <c r="T39" s="12">
        <f t="shared" si="15"/>
        <v>649.075761999997</v>
      </c>
      <c r="U39" s="19">
        <f t="shared" si="16"/>
        <v>3.71287128712871</v>
      </c>
      <c r="V39" s="19">
        <f t="shared" si="17"/>
        <v>3.69665994290112</v>
      </c>
      <c r="W39" s="12"/>
      <c r="X39" s="29"/>
      <c r="Y39" s="29"/>
      <c r="Z39" s="29"/>
      <c r="AA39" s="29"/>
      <c r="AB39" s="12"/>
      <c r="AC39" s="29"/>
      <c r="AD39" s="12"/>
      <c r="AE39" s="41">
        <v>404</v>
      </c>
      <c r="AF39" s="41">
        <v>17558.438483</v>
      </c>
      <c r="AG39" s="50">
        <v>404</v>
      </c>
      <c r="AH39" s="51">
        <v>17558.438483</v>
      </c>
      <c r="AI39" s="47">
        <v>418</v>
      </c>
      <c r="AJ39" s="47">
        <v>18200.024245</v>
      </c>
      <c r="AK39" s="47">
        <v>418</v>
      </c>
      <c r="AL39" s="47">
        <v>18200.024245</v>
      </c>
      <c r="AM39" s="41">
        <v>404</v>
      </c>
      <c r="AN39" s="41">
        <v>17558.438483</v>
      </c>
      <c r="AO39" s="41">
        <v>404</v>
      </c>
      <c r="AP39" s="49">
        <v>17558.438483</v>
      </c>
      <c r="AS39" s="1">
        <v>18</v>
      </c>
      <c r="AT39" s="1">
        <v>1001.18</v>
      </c>
      <c r="AZ39" s="54">
        <v>17520</v>
      </c>
    </row>
    <row r="40" s="1" customFormat="1" ht="40" customHeight="1" spans="1:52">
      <c r="A40" s="1" t="s">
        <v>60</v>
      </c>
      <c r="B40" s="12" t="s">
        <v>61</v>
      </c>
      <c r="C40" s="13">
        <v>325</v>
      </c>
      <c r="D40" s="12">
        <v>421765.974804</v>
      </c>
      <c r="E40" s="12">
        <f t="shared" si="1"/>
        <v>0</v>
      </c>
      <c r="F40" s="12">
        <f t="shared" si="2"/>
        <v>625</v>
      </c>
      <c r="G40" s="12">
        <f t="shared" si="3"/>
        <v>1</v>
      </c>
      <c r="H40" s="12">
        <f t="shared" si="4"/>
        <v>3135</v>
      </c>
      <c r="I40" s="12">
        <f t="shared" si="5"/>
        <v>1</v>
      </c>
      <c r="J40" s="12">
        <f t="shared" si="6"/>
        <v>3135</v>
      </c>
      <c r="K40" s="12">
        <f t="shared" si="18"/>
        <v>-10</v>
      </c>
      <c r="L40" s="12">
        <f t="shared" si="7"/>
        <v>-6087.97000000003</v>
      </c>
      <c r="M40" s="19">
        <f t="shared" si="8"/>
        <v>0.308641975308642</v>
      </c>
      <c r="N40" s="19">
        <f t="shared" si="9"/>
        <v>0.748869574562127</v>
      </c>
      <c r="O40" s="12">
        <f t="shared" si="10"/>
        <v>325</v>
      </c>
      <c r="P40" s="12">
        <f t="shared" si="11"/>
        <v>421765.974804</v>
      </c>
      <c r="Q40" s="12">
        <f t="shared" si="12"/>
        <v>1</v>
      </c>
      <c r="R40" s="12">
        <f t="shared" si="13"/>
        <v>3135</v>
      </c>
      <c r="S40" s="12">
        <f t="shared" si="14"/>
        <v>1</v>
      </c>
      <c r="T40" s="12">
        <f t="shared" si="15"/>
        <v>3135</v>
      </c>
      <c r="U40" s="19">
        <f t="shared" si="16"/>
        <v>0.308641975308642</v>
      </c>
      <c r="V40" s="19">
        <f t="shared" si="17"/>
        <v>0.748869574562127</v>
      </c>
      <c r="W40" s="12"/>
      <c r="X40" s="29"/>
      <c r="Y40" s="29"/>
      <c r="Z40" s="29"/>
      <c r="AA40" s="29"/>
      <c r="AB40" s="12"/>
      <c r="AC40" s="29"/>
      <c r="AD40" s="12"/>
      <c r="AE40" s="41">
        <v>324</v>
      </c>
      <c r="AF40" s="41">
        <v>418630.974804</v>
      </c>
      <c r="AG40" s="41">
        <v>324</v>
      </c>
      <c r="AH40" s="41">
        <v>418630.974804</v>
      </c>
      <c r="AI40" s="47">
        <v>325</v>
      </c>
      <c r="AJ40" s="47">
        <v>421140.974804</v>
      </c>
      <c r="AK40" s="47">
        <v>325</v>
      </c>
      <c r="AL40" s="47">
        <v>421140.974804</v>
      </c>
      <c r="AM40" s="41">
        <v>324</v>
      </c>
      <c r="AN40" s="41">
        <v>418630.974804</v>
      </c>
      <c r="AO40" s="41">
        <v>324</v>
      </c>
      <c r="AP40" s="49">
        <v>418630.974804</v>
      </c>
      <c r="AS40" s="1">
        <v>11</v>
      </c>
      <c r="AT40" s="1">
        <v>9222.97000000003</v>
      </c>
      <c r="AZ40" s="54">
        <v>418556</v>
      </c>
    </row>
    <row r="41" s="1" customFormat="1" ht="40" customHeight="1" spans="1:52">
      <c r="A41" s="1" t="s">
        <v>62</v>
      </c>
      <c r="B41" s="12" t="s">
        <v>63</v>
      </c>
      <c r="C41" s="13">
        <v>352</v>
      </c>
      <c r="D41" s="12">
        <v>17589.954576</v>
      </c>
      <c r="E41" s="12">
        <f t="shared" si="1"/>
        <v>0</v>
      </c>
      <c r="F41" s="12">
        <f t="shared" si="2"/>
        <v>-3.57999999999811</v>
      </c>
      <c r="G41" s="12">
        <f t="shared" si="3"/>
        <v>0</v>
      </c>
      <c r="H41" s="12">
        <f t="shared" si="4"/>
        <v>-15.8715389999998</v>
      </c>
      <c r="I41" s="12">
        <f t="shared" si="5"/>
        <v>0</v>
      </c>
      <c r="J41" s="12">
        <f t="shared" si="6"/>
        <v>-15.8715389999998</v>
      </c>
      <c r="K41" s="12">
        <f t="shared" si="18"/>
        <v>-34</v>
      </c>
      <c r="L41" s="12">
        <f t="shared" si="7"/>
        <v>-936.631539000002</v>
      </c>
      <c r="M41" s="19">
        <f t="shared" si="8"/>
        <v>0</v>
      </c>
      <c r="N41" s="19">
        <f t="shared" si="9"/>
        <v>-0.0901493567886448</v>
      </c>
      <c r="O41" s="12">
        <f>C41+W41+AA41-AC41+Y41</f>
        <v>352</v>
      </c>
      <c r="P41" s="12">
        <f>D41+X41+AB41-AD41+Z41</f>
        <v>17589.954576</v>
      </c>
      <c r="Q41" s="12">
        <f t="shared" si="12"/>
        <v>0</v>
      </c>
      <c r="R41" s="12">
        <f t="shared" si="13"/>
        <v>-15.8715389999998</v>
      </c>
      <c r="S41" s="12">
        <f t="shared" si="14"/>
        <v>0</v>
      </c>
      <c r="T41" s="12">
        <f t="shared" si="15"/>
        <v>-15.8715389999998</v>
      </c>
      <c r="U41" s="19">
        <f t="shared" si="16"/>
        <v>0</v>
      </c>
      <c r="V41" s="19">
        <f t="shared" si="17"/>
        <v>-0.0901493567886448</v>
      </c>
      <c r="W41" s="12"/>
      <c r="X41" s="29"/>
      <c r="Y41" s="29"/>
      <c r="Z41" s="29"/>
      <c r="AA41" s="12"/>
      <c r="AB41" s="12"/>
      <c r="AC41" s="12"/>
      <c r="AD41" s="12"/>
      <c r="AE41" s="41">
        <v>352</v>
      </c>
      <c r="AF41" s="41">
        <v>17605.826115</v>
      </c>
      <c r="AG41" s="41">
        <v>352</v>
      </c>
      <c r="AH41" s="41">
        <v>17605.826115</v>
      </c>
      <c r="AI41" s="47">
        <v>352</v>
      </c>
      <c r="AJ41" s="47">
        <v>17593.534576</v>
      </c>
      <c r="AK41" s="47">
        <v>352</v>
      </c>
      <c r="AL41" s="47">
        <v>17593.534576</v>
      </c>
      <c r="AM41" s="41">
        <v>352</v>
      </c>
      <c r="AN41" s="41">
        <v>17605.826115</v>
      </c>
      <c r="AO41" s="41">
        <v>352</v>
      </c>
      <c r="AP41" s="49">
        <v>17605.826115</v>
      </c>
      <c r="AS41" s="1">
        <v>34</v>
      </c>
      <c r="AT41" s="1">
        <v>920.760000000002</v>
      </c>
      <c r="AZ41" s="54">
        <v>17607.406305</v>
      </c>
    </row>
    <row r="42" s="2" customFormat="1" ht="40" customHeight="1" spans="2:46">
      <c r="B42" s="12" t="s">
        <v>64</v>
      </c>
      <c r="C42" s="12"/>
      <c r="D42" s="15">
        <v>1737694</v>
      </c>
      <c r="E42" s="16"/>
      <c r="F42" s="12">
        <v>-1015</v>
      </c>
      <c r="G42" s="16"/>
      <c r="H42" s="12">
        <v>-248</v>
      </c>
      <c r="I42" s="16"/>
      <c r="J42" s="12">
        <v>-248</v>
      </c>
      <c r="K42" s="12"/>
      <c r="L42" s="12"/>
      <c r="M42" s="20"/>
      <c r="N42" s="19">
        <v>-0.01</v>
      </c>
      <c r="O42" s="12" t="s">
        <v>65</v>
      </c>
      <c r="P42" s="12">
        <v>344500</v>
      </c>
      <c r="Q42" s="16"/>
      <c r="R42" s="12">
        <v>0</v>
      </c>
      <c r="S42" s="16"/>
      <c r="T42" s="12">
        <v>0</v>
      </c>
      <c r="U42" s="16"/>
      <c r="V42" s="19">
        <v>0</v>
      </c>
      <c r="W42" s="12"/>
      <c r="X42" s="29"/>
      <c r="Y42" s="29"/>
      <c r="Z42" s="29"/>
      <c r="AA42" s="19"/>
      <c r="AB42" s="19"/>
      <c r="AC42" s="19"/>
      <c r="AD42" s="19"/>
      <c r="AS42" s="1"/>
      <c r="AT42" s="1"/>
    </row>
    <row r="43" ht="50" customHeight="1" spans="2:46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AS43" s="1"/>
      <c r="AT43" s="1"/>
    </row>
    <row r="44" ht="20.25" spans="45:46">
      <c r="AS44" s="2"/>
      <c r="AT44" s="2"/>
    </row>
  </sheetData>
  <mergeCells count="34">
    <mergeCell ref="B1:AD1"/>
    <mergeCell ref="B2:AB2"/>
    <mergeCell ref="AE2:AP2"/>
    <mergeCell ref="C3:N3"/>
    <mergeCell ref="O3:V3"/>
    <mergeCell ref="AE3:AH3"/>
    <mergeCell ref="AI3:AL3"/>
    <mergeCell ref="AM3:AP3"/>
    <mergeCell ref="E4:F4"/>
    <mergeCell ref="G4:H4"/>
    <mergeCell ref="I4:J4"/>
    <mergeCell ref="K4:L4"/>
    <mergeCell ref="M4:N4"/>
    <mergeCell ref="Q4:R4"/>
    <mergeCell ref="S4:T4"/>
    <mergeCell ref="U4:V4"/>
    <mergeCell ref="AE4:AF4"/>
    <mergeCell ref="AG4:AH4"/>
    <mergeCell ref="AI4:AJ4"/>
    <mergeCell ref="AK4:AL4"/>
    <mergeCell ref="AM4:AN4"/>
    <mergeCell ref="AO4:AP4"/>
    <mergeCell ref="B42:C42"/>
    <mergeCell ref="B43:V43"/>
    <mergeCell ref="B3:B5"/>
    <mergeCell ref="C4:C5"/>
    <mergeCell ref="D4:D5"/>
    <mergeCell ref="O4:O5"/>
    <mergeCell ref="P4:P5"/>
    <mergeCell ref="AZ35:AZ36"/>
    <mergeCell ref="W3:X4"/>
    <mergeCell ref="Y3:Z4"/>
    <mergeCell ref="AA3:AB4"/>
    <mergeCell ref="AC3:AD4"/>
  </mergeCells>
  <conditionalFormatting sqref="E5:F5">
    <cfRule type="cellIs" dxfId="0" priority="18" operator="lessThan">
      <formula>0</formula>
    </cfRule>
  </conditionalFormatting>
  <conditionalFormatting sqref="I7:I40">
    <cfRule type="top10" dxfId="1" priority="25" bottom="1" rank="3"/>
    <cfRule type="top10" dxfId="2" priority="28" rank="3"/>
  </conditionalFormatting>
  <conditionalFormatting sqref="J7:J40">
    <cfRule type="top10" dxfId="1" priority="24" bottom="1" rank="3"/>
    <cfRule type="top10" dxfId="2" priority="26" rank="3"/>
    <cfRule type="top10" priority="27" rank="3"/>
  </conditionalFormatting>
  <conditionalFormatting sqref="S7:S40">
    <cfRule type="top10" dxfId="1" priority="21" bottom="1" rank="3"/>
    <cfRule type="top10" dxfId="2" priority="23" rank="3"/>
  </conditionalFormatting>
  <conditionalFormatting sqref="T7:T41">
    <cfRule type="top10" dxfId="1" priority="19" bottom="1" rank="3"/>
    <cfRule type="top10" priority="20" bottom="1" rank="3"/>
    <cfRule type="top10" dxfId="2" priority="22" rank="3"/>
  </conditionalFormatting>
  <conditionalFormatting sqref="E7:H40">
    <cfRule type="cellIs" dxfId="3" priority="17" operator="lessThan">
      <formula>0</formula>
    </cfRule>
  </conditionalFormatting>
  <conditionalFormatting sqref="Q7:R40">
    <cfRule type="cellIs" dxfId="3" priority="16" operator="lessThan">
      <formula>0</formula>
    </cfRule>
  </conditionalFormatting>
  <printOptions horizontalCentered="1"/>
  <pageMargins left="0.751388888888889" right="0.751388888888889" top="1" bottom="1" header="0.5" footer="0.5"/>
  <pageSetup paperSize="9" scale="2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统计快报（一)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lips</dc:creator>
  <cp:lastModifiedBy>ZMJ</cp:lastModifiedBy>
  <dcterms:created xsi:type="dcterms:W3CDTF">2020-03-09T13:00:00Z</dcterms:created>
  <cp:lastPrinted>2020-06-11T08:36:00Z</cp:lastPrinted>
  <dcterms:modified xsi:type="dcterms:W3CDTF">2026-01-07T01:11:27Z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28715A3AF3E548588FE82232C4779C23</vt:lpwstr>
  </property>
  <property fmtid="{D5CDD505-2E9C-101B-9397-08002B2CF9AE}" pid="4" name="KSOReadingLayout">
    <vt:bool>true</vt:bool>
  </property>
</Properties>
</file>