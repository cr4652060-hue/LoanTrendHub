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<sst xmlns="http://schemas.openxmlformats.org/spreadsheetml/2006/main" count="139" uniqueCount="66">
  <si>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</si>
  <si>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2026.01.15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</si>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</sst>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D7" sqref="D7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24876</v>
      </c>
      <c r="D6" s="12">
        <f>SUM(D7:D41)</f>
        <v>1399412.336053</v>
      </c>
      <c r="E6" s="12">
        <f>C6-AI6</f>
        <v>3</v>
      </c>
      <c r="F6" s="12">
        <f>D6-AJ6</f>
        <v>-486.328640000196</v>
      </c>
      <c r="G6" s="12">
        <f>C6-AM6</f>
        <v>285</v>
      </c>
      <c r="H6" s="12">
        <f>D6-AN6</f>
        <v>5970.79006599984</v>
      </c>
      <c r="I6" s="12">
        <f>C6-AE6</f>
        <v>285</v>
      </c>
      <c r="J6" s="12">
        <f>D6-AF6</f>
        <v>5970.79006599984</v>
      </c>
      <c r="K6" s="12">
        <f>I6-AS6</f>
        <v>-1247</v>
      </c>
      <c r="L6" s="12">
        <f>J6-AT6</f>
        <v>-37879.699934</v>
      </c>
      <c r="M6" s="19">
        <f>I6/AE6*100</f>
        <v>1.15896059533976</v>
      </c>
      <c r="N6" s="19">
        <f>J6/AF6*100</f>
        <v>0.428492324144865</v>
      </c>
      <c r="O6" s="12">
        <f>C6+Y6</f>
        <v>24876</v>
      </c>
      <c r="P6" s="12">
        <f>D6+Z6</f>
        <v>1399412.336053</v>
      </c>
      <c r="Q6" s="12">
        <f>O6-AO6</f>
        <v>285</v>
      </c>
      <c r="R6" s="12">
        <f>P6-AP6</f>
        <v>5970.79006599984</v>
      </c>
      <c r="S6" s="30">
        <f>O6-AG6</f>
        <v>285</v>
      </c>
      <c r="T6" s="12">
        <f>P6-AH6</f>
        <v>5970.79006599984</v>
      </c>
      <c r="U6" s="19">
        <f>S6/AG6*100</f>
        <v>1.15896059533976</v>
      </c>
      <c r="V6" s="19">
        <f>T6/AH6*100</f>
        <v>0.428492324144865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24873</v>
      </c>
      <c r="AJ6" s="47">
        <v>1399898.664693</v>
      </c>
      <c r="AK6" s="47">
        <v>24873</v>
      </c>
      <c r="AL6" s="48">
        <v>1399898.664693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1652</v>
      </c>
      <c r="D7" s="12">
        <v>81738.8538290001</v>
      </c>
      <c r="E7" s="12">
        <f>C7-AI7</f>
        <v>1</v>
      </c>
      <c r="F7" s="12">
        <f>D7-AJ7</f>
        <v>243.696762000007</v>
      </c>
      <c r="G7" s="12">
        <f>C7-AM7</f>
        <v>-5</v>
      </c>
      <c r="H7" s="12">
        <f>D7-AN7</f>
        <v>-671.062066999904</v>
      </c>
      <c r="I7" s="12">
        <f>C7-AE7</f>
        <v>-5</v>
      </c>
      <c r="J7" s="12">
        <f>D7-AF7</f>
        <v>-671.062066999904</v>
      </c>
      <c r="K7" s="12">
        <f t="shared" ref="K6:K12" si="0">I7-AS7</f>
        <v>-36</v>
      </c>
      <c r="L7" s="12">
        <f>J7-AT7</f>
        <v>-2178.60206699991</v>
      </c>
      <c r="M7" s="19">
        <f>I7/AE7*100</f>
        <v>-0.301750150875075</v>
      </c>
      <c r="N7" s="19">
        <f>J7/AF7*100</f>
        <v>-0.814297720976653</v>
      </c>
      <c r="O7" s="12">
        <f>C7+W7+AA7-AC7</f>
        <v>1652</v>
      </c>
      <c r="P7" s="12">
        <f>D7+X7+AB7-AD7</f>
        <v>81738.8538290001</v>
      </c>
      <c r="Q7" s="12">
        <f>O7-AO7</f>
        <v>-5</v>
      </c>
      <c r="R7" s="12">
        <f>P7-AP7</f>
        <v>-671.062066999904</v>
      </c>
      <c r="S7" s="12">
        <f>O7-AG7</f>
        <v>-5</v>
      </c>
      <c r="T7" s="12">
        <f>P7-AH7</f>
        <v>-671.062066999904</v>
      </c>
      <c r="U7" s="19">
        <f>S7/AG7*100</f>
        <v>-0.301750150875075</v>
      </c>
      <c r="V7" s="19">
        <f>T7/AH7*100</f>
        <v>-0.814297720976653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1651</v>
      </c>
      <c r="AJ7" s="47">
        <v>81495.1570670001</v>
      </c>
      <c r="AK7" s="47">
        <v>1651</v>
      </c>
      <c r="AL7" s="47">
        <v>81495.1570670001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1907</v>
      </c>
      <c r="D8" s="12">
        <v>122109.994208</v>
      </c>
      <c r="E8" s="12">
        <f>C8-AI8</f>
        <v>-2</v>
      </c>
      <c r="F8" s="12">
        <f>D8-AJ8</f>
        <v>0.167358999999124</v>
      </c>
      <c r="G8" s="12">
        <f>C8-AM8</f>
        <v>-18</v>
      </c>
      <c r="H8" s="12">
        <f>D8-AN8</f>
        <v>-1118.375388</v>
      </c>
      <c r="I8" s="12">
        <f>C8-AE8</f>
        <v>-18</v>
      </c>
      <c r="J8" s="12">
        <f>D8-AF8</f>
        <v>-1118.375388</v>
      </c>
      <c r="K8" s="12">
        <f t="shared" si="0"/>
        <v>-18</v>
      </c>
      <c r="L8" s="12">
        <f>J8-AT8</f>
        <v>-4.52538799999047</v>
      </c>
      <c r="M8" s="19">
        <f>I8/AE8*100</f>
        <v>-0.935064935064935</v>
      </c>
      <c r="N8" s="19">
        <f>J8/AF8*100</f>
        <v>-0.907563243485697</v>
      </c>
      <c r="O8" s="12">
        <f>C8+W8+AA8-AC8</f>
        <v>1907</v>
      </c>
      <c r="P8" s="12">
        <f>D8+X8+AB8-AD8</f>
        <v>122109.994208</v>
      </c>
      <c r="Q8" s="12">
        <f>O8-AO8</f>
        <v>-18</v>
      </c>
      <c r="R8" s="12">
        <f>P8-AP8</f>
        <v>-1118.375388</v>
      </c>
      <c r="S8" s="30">
        <f>O8-AG8</f>
        <v>-18</v>
      </c>
      <c r="T8" s="12">
        <f>P8-AH8</f>
        <v>-1118.375388</v>
      </c>
      <c r="U8" s="19">
        <f>S8/AG8*100</f>
        <v>-0.935064935064935</v>
      </c>
      <c r="V8" s="19">
        <f>T8/AH8*100</f>
        <v>-0.907563243485697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1909</v>
      </c>
      <c r="AJ8" s="47">
        <v>122109.826849</v>
      </c>
      <c r="AK8" s="47">
        <v>1909</v>
      </c>
      <c r="AL8" s="47">
        <v>122109.826849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768</v>
      </c>
      <c r="D9" s="12">
        <v>23538.061824</v>
      </c>
      <c r="E9" s="12">
        <f t="shared" ref="E9:E41" si="1">C9-AI9</f>
        <v>0</v>
      </c>
      <c r="F9" s="12">
        <f t="shared" ref="F9:F41" si="2">D9-AJ9</f>
        <v>-116.866792000001</v>
      </c>
      <c r="G9" s="12">
        <f t="shared" ref="G9:G41" si="3">C9-AM9</f>
        <v>55</v>
      </c>
      <c r="H9" s="12">
        <f t="shared" ref="H9:H41" si="4">D9-AN9</f>
        <v>419.766587999999</v>
      </c>
      <c r="I9" s="12">
        <f t="shared" ref="I9:I41" si="5">C9-AE9</f>
        <v>55</v>
      </c>
      <c r="J9" s="12">
        <f t="shared" ref="J9:J41" si="6">D9-AF9</f>
        <v>419.766587999999</v>
      </c>
      <c r="K9" s="12">
        <f t="shared" si="0"/>
        <v>-46</v>
      </c>
      <c r="L9" s="12">
        <f t="shared" ref="L9:L41" si="7">J9-AT9</f>
        <v>-833.313412000001</v>
      </c>
      <c r="M9" s="19">
        <f t="shared" ref="M9:M41" si="8">I9/AE9*100</f>
        <v>7.71388499298738</v>
      </c>
      <c r="N9" s="19">
        <f t="shared" ref="N9:N41" si="9">J9/AF9*100</f>
        <v>1.81573331300975</v>
      </c>
      <c r="O9" s="12">
        <f t="shared" ref="O9:O40" si="10">C9+W9+AA9-AC9</f>
        <v>768</v>
      </c>
      <c r="P9" s="12">
        <f t="shared" ref="P9:P40" si="11">D9+X9+AB9-AD9</f>
        <v>23538.061824</v>
      </c>
      <c r="Q9" s="12">
        <f t="shared" ref="Q9:Q41" si="12">O9-AO9</f>
        <v>55</v>
      </c>
      <c r="R9" s="12">
        <f t="shared" ref="R9:R41" si="13">P9-AP9</f>
        <v>419.766587999999</v>
      </c>
      <c r="S9" s="12">
        <f t="shared" ref="S9:S41" si="14">O9-AG9</f>
        <v>55</v>
      </c>
      <c r="T9" s="12">
        <f t="shared" ref="T9:T41" si="15">P9-AH9</f>
        <v>419.766587999999</v>
      </c>
      <c r="U9" s="19">
        <f t="shared" ref="U9:U41" si="16">S9/AG9*100</f>
        <v>7.71388499298738</v>
      </c>
      <c r="V9" s="19">
        <f t="shared" ref="V9:V41" si="17">T9/AH9*100</f>
        <v>1.81573331300975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768</v>
      </c>
      <c r="AJ9" s="47">
        <v>23654.928616</v>
      </c>
      <c r="AK9" s="47">
        <v>768</v>
      </c>
      <c r="AL9" s="47">
        <v>23654.928616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925</v>
      </c>
      <c r="D10" s="12">
        <v>27530.385071</v>
      </c>
      <c r="E10" s="12">
        <f t="shared" si="1"/>
        <v>-1</v>
      </c>
      <c r="F10" s="12">
        <f t="shared" si="2"/>
        <v>67.9000000000015</v>
      </c>
      <c r="G10" s="12">
        <f t="shared" si="3"/>
        <v>34</v>
      </c>
      <c r="H10" s="12">
        <f t="shared" si="4"/>
        <v>-345.316004</v>
      </c>
      <c r="I10" s="12">
        <f t="shared" si="5"/>
        <v>34</v>
      </c>
      <c r="J10" s="12">
        <f t="shared" si="6"/>
        <v>-345.316004</v>
      </c>
      <c r="K10" s="12">
        <f t="shared" si="0"/>
        <v>16</v>
      </c>
      <c r="L10" s="12">
        <f t="shared" si="7"/>
        <v>-2056.086004</v>
      </c>
      <c r="M10" s="19">
        <f t="shared" si="8"/>
        <v>3.81593714927048</v>
      </c>
      <c r="N10" s="19">
        <f t="shared" si="9"/>
        <v>-1.23877065215659</v>
      </c>
      <c r="O10" s="12">
        <f t="shared" si="10"/>
        <v>925</v>
      </c>
      <c r="P10" s="12">
        <f t="shared" si="11"/>
        <v>27530.385071</v>
      </c>
      <c r="Q10" s="12">
        <f t="shared" si="12"/>
        <v>34</v>
      </c>
      <c r="R10" s="12">
        <f t="shared" si="13"/>
        <v>-345.316004</v>
      </c>
      <c r="S10" s="12">
        <f t="shared" si="14"/>
        <v>34</v>
      </c>
      <c r="T10" s="12">
        <f t="shared" si="15"/>
        <v>-345.316004</v>
      </c>
      <c r="U10" s="19">
        <f t="shared" si="16"/>
        <v>3.81593714927048</v>
      </c>
      <c r="V10" s="19">
        <f t="shared" si="17"/>
        <v>-1.23877065215659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926</v>
      </c>
      <c r="AJ10" s="47">
        <v>27462.485071</v>
      </c>
      <c r="AK10" s="47">
        <v>926</v>
      </c>
      <c r="AL10" s="47">
        <v>27462.485071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514</v>
      </c>
      <c r="D11" s="12">
        <v>12674.80172</v>
      </c>
      <c r="E11" s="12">
        <f t="shared" si="1"/>
        <v>3</v>
      </c>
      <c r="F11" s="12">
        <f t="shared" si="2"/>
        <v>71</v>
      </c>
      <c r="G11" s="12">
        <f t="shared" si="3"/>
        <v>23</v>
      </c>
      <c r="H11" s="12">
        <f t="shared" si="4"/>
        <v>533.329905999999</v>
      </c>
      <c r="I11" s="12">
        <f t="shared" si="5"/>
        <v>23</v>
      </c>
      <c r="J11" s="12">
        <f t="shared" si="6"/>
        <v>533.329905999999</v>
      </c>
      <c r="K11" s="12">
        <f t="shared" si="0"/>
        <v>-16</v>
      </c>
      <c r="L11" s="12">
        <f t="shared" si="7"/>
        <v>-403.330094000001</v>
      </c>
      <c r="M11" s="19">
        <f t="shared" si="8"/>
        <v>4.68431771894094</v>
      </c>
      <c r="N11" s="19">
        <f t="shared" si="9"/>
        <v>4.39262977479411</v>
      </c>
      <c r="O11" s="12">
        <f t="shared" si="10"/>
        <v>514</v>
      </c>
      <c r="P11" s="12">
        <f t="shared" si="11"/>
        <v>12674.80172</v>
      </c>
      <c r="Q11" s="12">
        <f t="shared" si="12"/>
        <v>23</v>
      </c>
      <c r="R11" s="12">
        <f t="shared" si="13"/>
        <v>533.329905999999</v>
      </c>
      <c r="S11" s="12">
        <f t="shared" si="14"/>
        <v>23</v>
      </c>
      <c r="T11" s="12">
        <f t="shared" si="15"/>
        <v>533.329905999999</v>
      </c>
      <c r="U11" s="19">
        <f t="shared" si="16"/>
        <v>4.68431771894094</v>
      </c>
      <c r="V11" s="19">
        <f t="shared" si="17"/>
        <v>4.39262977479411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511</v>
      </c>
      <c r="AJ11" s="47">
        <v>12603.80172</v>
      </c>
      <c r="AK11" s="47">
        <v>511</v>
      </c>
      <c r="AL11" s="47">
        <v>12603.80172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395</v>
      </c>
      <c r="D12" s="12">
        <v>14352.119165</v>
      </c>
      <c r="E12" s="12">
        <f t="shared" si="1"/>
        <v>-1</v>
      </c>
      <c r="F12" s="12">
        <f t="shared" si="2"/>
        <v>-24</v>
      </c>
      <c r="G12" s="12">
        <f t="shared" si="3"/>
        <v>37</v>
      </c>
      <c r="H12" s="12">
        <f t="shared" si="4"/>
        <v>976.872828</v>
      </c>
      <c r="I12" s="12">
        <f t="shared" si="5"/>
        <v>37</v>
      </c>
      <c r="J12" s="12">
        <f t="shared" si="6"/>
        <v>976.872828</v>
      </c>
      <c r="K12" s="12">
        <f t="shared" si="0"/>
        <v>-36</v>
      </c>
      <c r="L12" s="12">
        <f t="shared" si="7"/>
        <v>-517.127172</v>
      </c>
      <c r="M12" s="19">
        <f t="shared" si="8"/>
        <v>10.3351955307263</v>
      </c>
      <c r="N12" s="19">
        <f t="shared" si="9"/>
        <v>7.30358756307667</v>
      </c>
      <c r="O12" s="12">
        <f t="shared" si="10"/>
        <v>395</v>
      </c>
      <c r="P12" s="12">
        <f t="shared" si="11"/>
        <v>14352.119165</v>
      </c>
      <c r="Q12" s="12">
        <f t="shared" si="12"/>
        <v>37</v>
      </c>
      <c r="R12" s="12">
        <f t="shared" si="13"/>
        <v>976.872828</v>
      </c>
      <c r="S12" s="30">
        <f t="shared" si="14"/>
        <v>37</v>
      </c>
      <c r="T12" s="12">
        <f t="shared" si="15"/>
        <v>976.872828</v>
      </c>
      <c r="U12" s="19">
        <f t="shared" si="16"/>
        <v>10.3351955307263</v>
      </c>
      <c r="V12" s="19">
        <f t="shared" si="17"/>
        <v>7.30358756307667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396</v>
      </c>
      <c r="AJ12" s="47">
        <v>14376.119165</v>
      </c>
      <c r="AK12" s="47">
        <v>396</v>
      </c>
      <c r="AL12" s="47">
        <v>14376.119165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463</v>
      </c>
      <c r="D13" s="12">
        <v>11791.319215</v>
      </c>
      <c r="E13" s="12">
        <f t="shared" si="1"/>
        <v>2</v>
      </c>
      <c r="F13" s="12">
        <f t="shared" si="2"/>
        <v>18.4768999999997</v>
      </c>
      <c r="G13" s="12">
        <f t="shared" si="3"/>
        <v>-6</v>
      </c>
      <c r="H13" s="12">
        <f t="shared" si="4"/>
        <v>-245.970401</v>
      </c>
      <c r="I13" s="12">
        <f t="shared" si="5"/>
        <v>-6</v>
      </c>
      <c r="J13" s="12">
        <f t="shared" si="6"/>
        <v>-245.970401</v>
      </c>
      <c r="K13" s="12">
        <f t="shared" ref="K9:K41" si="18">I13-AS13</f>
        <v>-9</v>
      </c>
      <c r="L13" s="12">
        <f t="shared" si="7"/>
        <v>-812.440401000002</v>
      </c>
      <c r="M13" s="19">
        <f t="shared" si="8"/>
        <v>-1.27931769722815</v>
      </c>
      <c r="N13" s="19">
        <f t="shared" si="9"/>
        <v>-2.04340353058429</v>
      </c>
      <c r="O13" s="12">
        <f t="shared" si="10"/>
        <v>463</v>
      </c>
      <c r="P13" s="12">
        <f t="shared" si="11"/>
        <v>11791.319215</v>
      </c>
      <c r="Q13" s="12">
        <f t="shared" si="12"/>
        <v>-6</v>
      </c>
      <c r="R13" s="12">
        <f t="shared" si="13"/>
        <v>-245.970401</v>
      </c>
      <c r="S13" s="12">
        <f t="shared" si="14"/>
        <v>-6</v>
      </c>
      <c r="T13" s="12">
        <f t="shared" si="15"/>
        <v>-245.970401</v>
      </c>
      <c r="U13" s="19">
        <f t="shared" si="16"/>
        <v>-1.27931769722815</v>
      </c>
      <c r="V13" s="19">
        <f t="shared" si="17"/>
        <v>-2.04340353058429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461</v>
      </c>
      <c r="AJ13" s="47">
        <v>11772.842315</v>
      </c>
      <c r="AK13" s="47">
        <v>461</v>
      </c>
      <c r="AL13" s="47">
        <v>11772.842315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354</v>
      </c>
      <c r="D14" s="12">
        <v>11319.896632</v>
      </c>
      <c r="E14" s="12">
        <f t="shared" si="1"/>
        <v>0</v>
      </c>
      <c r="F14" s="12">
        <f t="shared" si="2"/>
        <v>2.63999999999942</v>
      </c>
      <c r="G14" s="12">
        <f t="shared" si="3"/>
        <v>6</v>
      </c>
      <c r="H14" s="12">
        <f t="shared" si="4"/>
        <v>740.205583999999</v>
      </c>
      <c r="I14" s="12">
        <f t="shared" si="5"/>
        <v>6</v>
      </c>
      <c r="J14" s="12">
        <f t="shared" si="6"/>
        <v>740.205583999999</v>
      </c>
      <c r="K14" s="12">
        <f t="shared" si="18"/>
        <v>-70</v>
      </c>
      <c r="L14" s="12">
        <f t="shared" si="7"/>
        <v>-177.094416</v>
      </c>
      <c r="M14" s="19">
        <f t="shared" si="8"/>
        <v>1.72413793103448</v>
      </c>
      <c r="N14" s="19">
        <f t="shared" si="9"/>
        <v>6.99647636818212</v>
      </c>
      <c r="O14" s="12">
        <f t="shared" si="10"/>
        <v>354</v>
      </c>
      <c r="P14" s="12">
        <f t="shared" si="11"/>
        <v>11319.896632</v>
      </c>
      <c r="Q14" s="12">
        <f t="shared" si="12"/>
        <v>6</v>
      </c>
      <c r="R14" s="12">
        <f t="shared" si="13"/>
        <v>740.205583999999</v>
      </c>
      <c r="S14" s="12">
        <f t="shared" si="14"/>
        <v>6</v>
      </c>
      <c r="T14" s="12">
        <f t="shared" si="15"/>
        <v>740.205583999999</v>
      </c>
      <c r="U14" s="19">
        <f t="shared" si="16"/>
        <v>1.72413793103448</v>
      </c>
      <c r="V14" s="19">
        <f t="shared" si="17"/>
        <v>6.99647636818212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354</v>
      </c>
      <c r="AJ14" s="47">
        <v>11317.256632</v>
      </c>
      <c r="AK14" s="47">
        <v>354</v>
      </c>
      <c r="AL14" s="47">
        <v>11317.256632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698</v>
      </c>
      <c r="D15" s="12">
        <v>18315.641772</v>
      </c>
      <c r="E15" s="12">
        <f t="shared" si="1"/>
        <v>6</v>
      </c>
      <c r="F15" s="12">
        <f t="shared" si="2"/>
        <v>85.3699879999986</v>
      </c>
      <c r="G15" s="12">
        <f t="shared" si="3"/>
        <v>44</v>
      </c>
      <c r="H15" s="12">
        <f t="shared" si="4"/>
        <v>774.305025999998</v>
      </c>
      <c r="I15" s="12">
        <f t="shared" si="5"/>
        <v>44</v>
      </c>
      <c r="J15" s="12">
        <f t="shared" si="6"/>
        <v>774.305025999998</v>
      </c>
      <c r="K15" s="12">
        <f t="shared" si="18"/>
        <v>-66</v>
      </c>
      <c r="L15" s="12">
        <f t="shared" si="7"/>
        <v>-685.544974000002</v>
      </c>
      <c r="M15" s="19">
        <f t="shared" si="8"/>
        <v>6.72782874617737</v>
      </c>
      <c r="N15" s="19">
        <f t="shared" si="9"/>
        <v>4.41417343052014</v>
      </c>
      <c r="O15" s="12">
        <f t="shared" si="10"/>
        <v>698</v>
      </c>
      <c r="P15" s="12">
        <f t="shared" si="11"/>
        <v>18315.641772</v>
      </c>
      <c r="Q15" s="12">
        <f t="shared" si="12"/>
        <v>44</v>
      </c>
      <c r="R15" s="12">
        <f t="shared" si="13"/>
        <v>774.305025999998</v>
      </c>
      <c r="S15" s="12">
        <f t="shared" si="14"/>
        <v>44</v>
      </c>
      <c r="T15" s="12">
        <f t="shared" si="15"/>
        <v>774.305025999998</v>
      </c>
      <c r="U15" s="19">
        <f t="shared" si="16"/>
        <v>6.72782874617737</v>
      </c>
      <c r="V15" s="19">
        <f t="shared" si="17"/>
        <v>4.41417343052014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692</v>
      </c>
      <c r="AJ15" s="47">
        <v>18230.271784</v>
      </c>
      <c r="AK15" s="47">
        <v>692</v>
      </c>
      <c r="AL15" s="47">
        <v>18230.271784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694</v>
      </c>
      <c r="D16" s="12">
        <v>23834.138509</v>
      </c>
      <c r="E16" s="12">
        <f t="shared" si="1"/>
        <v>0</v>
      </c>
      <c r="F16" s="12">
        <f t="shared" si="2"/>
        <v>245.713169999999</v>
      </c>
      <c r="G16" s="12">
        <f t="shared" si="3"/>
        <v>-9</v>
      </c>
      <c r="H16" s="12">
        <f t="shared" si="4"/>
        <v>933.411545999999</v>
      </c>
      <c r="I16" s="12">
        <f t="shared" si="5"/>
        <v>-9</v>
      </c>
      <c r="J16" s="12">
        <f t="shared" si="6"/>
        <v>933.411545999999</v>
      </c>
      <c r="K16" s="12">
        <f t="shared" si="18"/>
        <v>-72</v>
      </c>
      <c r="L16" s="12">
        <f t="shared" si="7"/>
        <v>145.451546</v>
      </c>
      <c r="M16" s="19">
        <f t="shared" si="8"/>
        <v>-1.28022759601707</v>
      </c>
      <c r="N16" s="19">
        <f t="shared" si="9"/>
        <v>4.07590356196152</v>
      </c>
      <c r="O16" s="12">
        <f t="shared" si="10"/>
        <v>694</v>
      </c>
      <c r="P16" s="12">
        <f t="shared" si="11"/>
        <v>23834.138509</v>
      </c>
      <c r="Q16" s="12">
        <f t="shared" si="12"/>
        <v>-9</v>
      </c>
      <c r="R16" s="12">
        <f t="shared" si="13"/>
        <v>933.411545999999</v>
      </c>
      <c r="S16" s="12">
        <f t="shared" si="14"/>
        <v>-9</v>
      </c>
      <c r="T16" s="12">
        <f t="shared" si="15"/>
        <v>933.411545999999</v>
      </c>
      <c r="U16" s="19">
        <f t="shared" si="16"/>
        <v>-1.28022759601707</v>
      </c>
      <c r="V16" s="19">
        <f t="shared" si="17"/>
        <v>4.07590356196152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23588.425339</v>
      </c>
      <c r="AK16" s="47">
        <v>694</v>
      </c>
      <c r="AL16" s="47">
        <v>23588.425339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587</v>
      </c>
      <c r="D17" s="12">
        <v>18057.538841</v>
      </c>
      <c r="E17" s="12">
        <f t="shared" si="1"/>
        <v>-2</v>
      </c>
      <c r="F17" s="12">
        <f t="shared" si="2"/>
        <v>-451.799999999999</v>
      </c>
      <c r="G17" s="12">
        <f t="shared" si="3"/>
        <v>-12</v>
      </c>
      <c r="H17" s="12">
        <f t="shared" si="4"/>
        <v>-372.482035999998</v>
      </c>
      <c r="I17" s="12">
        <f t="shared" si="5"/>
        <v>-12</v>
      </c>
      <c r="J17" s="12">
        <f t="shared" si="6"/>
        <v>-372.482035999998</v>
      </c>
      <c r="K17" s="12">
        <f t="shared" si="18"/>
        <v>-20</v>
      </c>
      <c r="L17" s="12">
        <f t="shared" si="7"/>
        <v>-1102.192036</v>
      </c>
      <c r="M17" s="19">
        <f t="shared" si="8"/>
        <v>-2.00333889816361</v>
      </c>
      <c r="N17" s="19">
        <f t="shared" si="9"/>
        <v>-2.0210613893815</v>
      </c>
      <c r="O17" s="12">
        <f t="shared" si="10"/>
        <v>587</v>
      </c>
      <c r="P17" s="12">
        <f t="shared" si="11"/>
        <v>18057.538841</v>
      </c>
      <c r="Q17" s="12">
        <f t="shared" si="12"/>
        <v>-12</v>
      </c>
      <c r="R17" s="12">
        <f t="shared" si="13"/>
        <v>-372.482035999998</v>
      </c>
      <c r="S17" s="30">
        <f t="shared" si="14"/>
        <v>-12</v>
      </c>
      <c r="T17" s="12">
        <f t="shared" si="15"/>
        <v>-372.482035999998</v>
      </c>
      <c r="U17" s="19">
        <f t="shared" si="16"/>
        <v>-2.00333889816361</v>
      </c>
      <c r="V17" s="19">
        <f t="shared" si="17"/>
        <v>-2.0210613893815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589</v>
      </c>
      <c r="AJ17" s="47">
        <v>18509.338841</v>
      </c>
      <c r="AK17" s="47">
        <v>589</v>
      </c>
      <c r="AL17" s="47">
        <v>18509.338841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484</v>
      </c>
      <c r="D18" s="12">
        <v>19620.403061</v>
      </c>
      <c r="E18" s="12">
        <f t="shared" si="1"/>
        <v>1</v>
      </c>
      <c r="F18" s="12">
        <f t="shared" si="2"/>
        <v>-17.8299999999981</v>
      </c>
      <c r="G18" s="12">
        <f t="shared" si="3"/>
        <v>2</v>
      </c>
      <c r="H18" s="12">
        <f t="shared" si="4"/>
        <v>62.9396610000003</v>
      </c>
      <c r="I18" s="12">
        <f t="shared" si="5"/>
        <v>2</v>
      </c>
      <c r="J18" s="12">
        <f t="shared" si="6"/>
        <v>62.9396610000003</v>
      </c>
      <c r="K18" s="12">
        <f t="shared" si="18"/>
        <v>-9</v>
      </c>
      <c r="L18" s="12">
        <f t="shared" si="7"/>
        <v>-1248.530339</v>
      </c>
      <c r="M18" s="19">
        <f t="shared" si="8"/>
        <v>0.4149377593361</v>
      </c>
      <c r="N18" s="19">
        <f t="shared" si="9"/>
        <v>0.321819142455868</v>
      </c>
      <c r="O18" s="12">
        <f t="shared" si="10"/>
        <v>484</v>
      </c>
      <c r="P18" s="12">
        <f t="shared" si="11"/>
        <v>19620.403061</v>
      </c>
      <c r="Q18" s="12">
        <f t="shared" si="12"/>
        <v>2</v>
      </c>
      <c r="R18" s="12">
        <f t="shared" si="13"/>
        <v>62.9396610000003</v>
      </c>
      <c r="S18" s="12">
        <f t="shared" si="14"/>
        <v>2</v>
      </c>
      <c r="T18" s="12">
        <f t="shared" si="15"/>
        <v>62.9396610000003</v>
      </c>
      <c r="U18" s="19">
        <f t="shared" si="16"/>
        <v>0.4149377593361</v>
      </c>
      <c r="V18" s="19">
        <f t="shared" si="17"/>
        <v>0.321819142455868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483</v>
      </c>
      <c r="AJ18" s="47">
        <v>19638.233061</v>
      </c>
      <c r="AK18" s="47">
        <v>483</v>
      </c>
      <c r="AL18" s="47">
        <v>19638.233061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423</v>
      </c>
      <c r="D19" s="12">
        <v>14545.285372</v>
      </c>
      <c r="E19" s="12">
        <f t="shared" si="1"/>
        <v>-3</v>
      </c>
      <c r="F19" s="12">
        <f t="shared" si="2"/>
        <v>-80.2899999999991</v>
      </c>
      <c r="G19" s="12">
        <f t="shared" si="3"/>
        <v>-9</v>
      </c>
      <c r="H19" s="12">
        <f t="shared" si="4"/>
        <v>-85.0609999999997</v>
      </c>
      <c r="I19" s="12">
        <f t="shared" si="5"/>
        <v>-9</v>
      </c>
      <c r="J19" s="12">
        <f t="shared" si="6"/>
        <v>-85.0609999999997</v>
      </c>
      <c r="K19" s="12">
        <f t="shared" si="18"/>
        <v>-41</v>
      </c>
      <c r="L19" s="12">
        <f t="shared" si="7"/>
        <v>-888.041</v>
      </c>
      <c r="M19" s="19">
        <f t="shared" si="8"/>
        <v>-2.08333333333333</v>
      </c>
      <c r="N19" s="19">
        <f t="shared" si="9"/>
        <v>-0.581401135948442</v>
      </c>
      <c r="O19" s="12">
        <f t="shared" si="10"/>
        <v>423</v>
      </c>
      <c r="P19" s="12">
        <f t="shared" si="11"/>
        <v>14545.285372</v>
      </c>
      <c r="Q19" s="12">
        <f t="shared" si="12"/>
        <v>-9</v>
      </c>
      <c r="R19" s="12">
        <f t="shared" si="13"/>
        <v>-85.0609999999997</v>
      </c>
      <c r="S19" s="12">
        <f t="shared" si="14"/>
        <v>-9</v>
      </c>
      <c r="T19" s="12">
        <f t="shared" si="15"/>
        <v>-85.0609999999997</v>
      </c>
      <c r="U19" s="19">
        <f t="shared" si="16"/>
        <v>-2.08333333333333</v>
      </c>
      <c r="V19" s="19">
        <f t="shared" si="17"/>
        <v>-0.581401135948442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426</v>
      </c>
      <c r="AJ19" s="47">
        <v>14625.575372</v>
      </c>
      <c r="AK19" s="47">
        <v>426</v>
      </c>
      <c r="AL19" s="47">
        <v>14625.575372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647</v>
      </c>
      <c r="D20" s="12">
        <v>19422.727604</v>
      </c>
      <c r="E20" s="12">
        <f t="shared" si="1"/>
        <v>0</v>
      </c>
      <c r="F20" s="12">
        <f t="shared" si="2"/>
        <v>7.66881899999862</v>
      </c>
      <c r="G20" s="12">
        <f t="shared" si="3"/>
        <v>36</v>
      </c>
      <c r="H20" s="12">
        <f t="shared" si="4"/>
        <v>1404.01</v>
      </c>
      <c r="I20" s="12">
        <f t="shared" si="5"/>
        <v>36</v>
      </c>
      <c r="J20" s="12">
        <f t="shared" si="6"/>
        <v>1404.01</v>
      </c>
      <c r="K20" s="12">
        <f t="shared" si="18"/>
        <v>-45</v>
      </c>
      <c r="L20" s="12">
        <f t="shared" si="7"/>
        <v>-812.640000000002</v>
      </c>
      <c r="M20" s="19">
        <f t="shared" si="8"/>
        <v>5.89198036006547</v>
      </c>
      <c r="N20" s="19">
        <f t="shared" si="9"/>
        <v>7.79195296167093</v>
      </c>
      <c r="O20" s="12">
        <f t="shared" si="10"/>
        <v>647</v>
      </c>
      <c r="P20" s="12">
        <f t="shared" si="11"/>
        <v>19422.727604</v>
      </c>
      <c r="Q20" s="12">
        <f t="shared" si="12"/>
        <v>36</v>
      </c>
      <c r="R20" s="12">
        <f t="shared" si="13"/>
        <v>1404.01</v>
      </c>
      <c r="S20" s="12">
        <f t="shared" si="14"/>
        <v>36</v>
      </c>
      <c r="T20" s="12">
        <f t="shared" si="15"/>
        <v>1404.01</v>
      </c>
      <c r="U20" s="19">
        <f t="shared" si="16"/>
        <v>5.89198036006547</v>
      </c>
      <c r="V20" s="19">
        <f t="shared" si="17"/>
        <v>7.79195296167093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647</v>
      </c>
      <c r="AJ20" s="47">
        <v>19415.058785</v>
      </c>
      <c r="AK20" s="47">
        <v>647</v>
      </c>
      <c r="AL20" s="47">
        <v>19415.058785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440</v>
      </c>
      <c r="D21" s="12">
        <v>15301.792006</v>
      </c>
      <c r="E21" s="12">
        <f t="shared" si="1"/>
        <v>-1</v>
      </c>
      <c r="F21" s="12">
        <f t="shared" si="2"/>
        <v>-178.602656999999</v>
      </c>
      <c r="G21" s="12">
        <f t="shared" si="3"/>
        <v>2</v>
      </c>
      <c r="H21" s="12">
        <f t="shared" si="4"/>
        <v>-122.672267</v>
      </c>
      <c r="I21" s="12">
        <f t="shared" si="5"/>
        <v>2</v>
      </c>
      <c r="J21" s="12">
        <f t="shared" si="6"/>
        <v>-122.672267</v>
      </c>
      <c r="K21" s="12">
        <f t="shared" si="18"/>
        <v>-55</v>
      </c>
      <c r="L21" s="12">
        <f t="shared" si="7"/>
        <v>-1132.572267</v>
      </c>
      <c r="M21" s="19">
        <f t="shared" si="8"/>
        <v>0.45662100456621</v>
      </c>
      <c r="N21" s="19">
        <f t="shared" si="9"/>
        <v>-0.795309741906132</v>
      </c>
      <c r="O21" s="12">
        <f t="shared" si="10"/>
        <v>440</v>
      </c>
      <c r="P21" s="12">
        <f t="shared" si="11"/>
        <v>15301.792006</v>
      </c>
      <c r="Q21" s="12">
        <f t="shared" si="12"/>
        <v>2</v>
      </c>
      <c r="R21" s="12">
        <f t="shared" si="13"/>
        <v>-122.672267</v>
      </c>
      <c r="S21" s="30">
        <f t="shared" si="14"/>
        <v>2</v>
      </c>
      <c r="T21" s="12">
        <f t="shared" si="15"/>
        <v>-122.672267</v>
      </c>
      <c r="U21" s="19">
        <f t="shared" si="16"/>
        <v>0.45662100456621</v>
      </c>
      <c r="V21" s="19">
        <f t="shared" si="17"/>
        <v>-0.795309741906132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441</v>
      </c>
      <c r="AJ21" s="47">
        <v>15480.394663</v>
      </c>
      <c r="AK21" s="47">
        <v>441</v>
      </c>
      <c r="AL21" s="47">
        <v>15480.394663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726</v>
      </c>
      <c r="D22" s="12">
        <v>25252.776119</v>
      </c>
      <c r="E22" s="12">
        <f t="shared" si="1"/>
        <v>4</v>
      </c>
      <c r="F22" s="12">
        <f t="shared" si="2"/>
        <v>74.5999999999985</v>
      </c>
      <c r="G22" s="12">
        <f t="shared" si="3"/>
        <v>52</v>
      </c>
      <c r="H22" s="12">
        <f t="shared" si="4"/>
        <v>1908.207151</v>
      </c>
      <c r="I22" s="12">
        <f t="shared" si="5"/>
        <v>52</v>
      </c>
      <c r="J22" s="12">
        <f t="shared" si="6"/>
        <v>1908.207151</v>
      </c>
      <c r="K22" s="12">
        <f t="shared" si="18"/>
        <v>-10</v>
      </c>
      <c r="L22" s="12">
        <f t="shared" si="7"/>
        <v>629.287150999999</v>
      </c>
      <c r="M22" s="19">
        <f t="shared" si="8"/>
        <v>7.71513353115727</v>
      </c>
      <c r="N22" s="19">
        <f t="shared" si="9"/>
        <v>8.17409459825842</v>
      </c>
      <c r="O22" s="12">
        <f t="shared" si="10"/>
        <v>726</v>
      </c>
      <c r="P22" s="12">
        <f t="shared" si="11"/>
        <v>25252.776119</v>
      </c>
      <c r="Q22" s="12">
        <f t="shared" si="12"/>
        <v>52</v>
      </c>
      <c r="R22" s="12">
        <f t="shared" si="13"/>
        <v>1908.207151</v>
      </c>
      <c r="S22" s="12">
        <f t="shared" si="14"/>
        <v>52</v>
      </c>
      <c r="T22" s="12">
        <f t="shared" si="15"/>
        <v>1908.207151</v>
      </c>
      <c r="U22" s="19">
        <f t="shared" si="16"/>
        <v>7.71513353115727</v>
      </c>
      <c r="V22" s="19">
        <f t="shared" si="17"/>
        <v>8.17409459825842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722</v>
      </c>
      <c r="AJ22" s="47">
        <v>25178.176119</v>
      </c>
      <c r="AK22" s="47">
        <v>722</v>
      </c>
      <c r="AL22" s="47">
        <v>25178.176119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688</v>
      </c>
      <c r="D23" s="12">
        <v>25650.807315</v>
      </c>
      <c r="E23" s="12">
        <f t="shared" si="1"/>
        <v>-1</v>
      </c>
      <c r="F23" s="12">
        <f t="shared" si="2"/>
        <v>14.1999999999971</v>
      </c>
      <c r="G23" s="12">
        <f t="shared" si="3"/>
        <v>-12</v>
      </c>
      <c r="H23" s="12">
        <f t="shared" si="4"/>
        <v>-369.381271000002</v>
      </c>
      <c r="I23" s="12">
        <f t="shared" si="5"/>
        <v>-12</v>
      </c>
      <c r="J23" s="12">
        <f t="shared" si="6"/>
        <v>-369.381271000002</v>
      </c>
      <c r="K23" s="12">
        <f t="shared" si="18"/>
        <v>-54</v>
      </c>
      <c r="L23" s="12">
        <f t="shared" si="7"/>
        <v>-897.791271000002</v>
      </c>
      <c r="M23" s="19">
        <f t="shared" si="8"/>
        <v>-1.71428571428571</v>
      </c>
      <c r="N23" s="19">
        <f t="shared" si="9"/>
        <v>-1.41959490331575</v>
      </c>
      <c r="O23" s="12">
        <f t="shared" si="10"/>
        <v>688</v>
      </c>
      <c r="P23" s="12">
        <f t="shared" si="11"/>
        <v>25650.807315</v>
      </c>
      <c r="Q23" s="12">
        <f t="shared" si="12"/>
        <v>-12</v>
      </c>
      <c r="R23" s="12">
        <f t="shared" si="13"/>
        <v>-369.381271000002</v>
      </c>
      <c r="S23" s="12">
        <f t="shared" si="14"/>
        <v>-12</v>
      </c>
      <c r="T23" s="12">
        <f t="shared" si="15"/>
        <v>-369.381271000002</v>
      </c>
      <c r="U23" s="19">
        <f t="shared" si="16"/>
        <v>-1.71428571428571</v>
      </c>
      <c r="V23" s="19">
        <f t="shared" si="17"/>
        <v>-1.41959490331575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689</v>
      </c>
      <c r="AJ23" s="47">
        <v>25636.607315</v>
      </c>
      <c r="AK23" s="47">
        <v>689</v>
      </c>
      <c r="AL23" s="47">
        <v>25636.607315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483</v>
      </c>
      <c r="D24" s="12">
        <v>15567.37</v>
      </c>
      <c r="E24" s="12">
        <f t="shared" si="1"/>
        <v>1</v>
      </c>
      <c r="F24" s="12">
        <f t="shared" si="2"/>
        <v>6.5</v>
      </c>
      <c r="G24" s="12">
        <f t="shared" si="3"/>
        <v>12</v>
      </c>
      <c r="H24" s="12">
        <f t="shared" si="4"/>
        <v>978.970000000001</v>
      </c>
      <c r="I24" s="12">
        <f t="shared" si="5"/>
        <v>12</v>
      </c>
      <c r="J24" s="12">
        <f t="shared" si="6"/>
        <v>978.970000000001</v>
      </c>
      <c r="K24" s="12">
        <f t="shared" si="18"/>
        <v>-39</v>
      </c>
      <c r="L24" s="12">
        <f t="shared" si="7"/>
        <v>160.980000000001</v>
      </c>
      <c r="M24" s="19">
        <f t="shared" si="8"/>
        <v>2.54777070063694</v>
      </c>
      <c r="N24" s="19">
        <f t="shared" si="9"/>
        <v>6.71060568671</v>
      </c>
      <c r="O24" s="12">
        <f t="shared" si="10"/>
        <v>483</v>
      </c>
      <c r="P24" s="12">
        <f t="shared" si="11"/>
        <v>15567.37</v>
      </c>
      <c r="Q24" s="12">
        <f t="shared" si="12"/>
        <v>12</v>
      </c>
      <c r="R24" s="12">
        <f t="shared" si="13"/>
        <v>978.970000000001</v>
      </c>
      <c r="S24" s="30">
        <f t="shared" si="14"/>
        <v>12</v>
      </c>
      <c r="T24" s="12">
        <f t="shared" si="15"/>
        <v>978.970000000001</v>
      </c>
      <c r="U24" s="19">
        <f t="shared" si="16"/>
        <v>2.54777070063694</v>
      </c>
      <c r="V24" s="19">
        <f t="shared" si="17"/>
        <v>6.71060568671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15560.87</v>
      </c>
      <c r="AK24" s="47">
        <v>482</v>
      </c>
      <c r="AL24" s="47">
        <v>15560.87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491</v>
      </c>
      <c r="D25" s="12">
        <v>15554.814948</v>
      </c>
      <c r="E25" s="12">
        <f t="shared" si="1"/>
        <v>1</v>
      </c>
      <c r="F25" s="12">
        <f t="shared" si="2"/>
        <v>42.2402029999994</v>
      </c>
      <c r="G25" s="12">
        <f t="shared" si="3"/>
        <v>9</v>
      </c>
      <c r="H25" s="12">
        <f t="shared" si="4"/>
        <v>-572.062068000001</v>
      </c>
      <c r="I25" s="12">
        <f t="shared" si="5"/>
        <v>9</v>
      </c>
      <c r="J25" s="12">
        <f t="shared" si="6"/>
        <v>-572.062068000001</v>
      </c>
      <c r="K25" s="12">
        <f t="shared" si="18"/>
        <v>-16</v>
      </c>
      <c r="L25" s="12">
        <f t="shared" si="7"/>
        <v>-1453.242068</v>
      </c>
      <c r="M25" s="19">
        <f t="shared" si="8"/>
        <v>1.86721991701245</v>
      </c>
      <c r="N25" s="19">
        <f t="shared" si="9"/>
        <v>-3.54725882408875</v>
      </c>
      <c r="O25" s="12">
        <f t="shared" si="10"/>
        <v>491</v>
      </c>
      <c r="P25" s="12">
        <f t="shared" si="11"/>
        <v>15554.814948</v>
      </c>
      <c r="Q25" s="12">
        <f t="shared" si="12"/>
        <v>9</v>
      </c>
      <c r="R25" s="12">
        <f t="shared" si="13"/>
        <v>-572.062068000001</v>
      </c>
      <c r="S25" s="12">
        <f t="shared" si="14"/>
        <v>9</v>
      </c>
      <c r="T25" s="12">
        <f t="shared" si="15"/>
        <v>-572.062068000001</v>
      </c>
      <c r="U25" s="19">
        <f t="shared" si="16"/>
        <v>1.86721991701245</v>
      </c>
      <c r="V25" s="19">
        <f t="shared" si="17"/>
        <v>-3.54725882408875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490</v>
      </c>
      <c r="AJ25" s="47">
        <v>15512.574745</v>
      </c>
      <c r="AK25" s="47">
        <v>490</v>
      </c>
      <c r="AL25" s="47">
        <v>15512.574745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10383.258365</v>
      </c>
      <c r="E26" s="12">
        <f t="shared" si="1"/>
        <v>0</v>
      </c>
      <c r="F26" s="12">
        <f t="shared" si="2"/>
        <v>22.2531039999994</v>
      </c>
      <c r="G26" s="12">
        <f t="shared" si="3"/>
        <v>-9</v>
      </c>
      <c r="H26" s="12">
        <f t="shared" si="4"/>
        <v>-439.16719</v>
      </c>
      <c r="I26" s="12">
        <f t="shared" si="5"/>
        <v>-9</v>
      </c>
      <c r="J26" s="12">
        <f t="shared" si="6"/>
        <v>-439.16719</v>
      </c>
      <c r="K26" s="12">
        <f t="shared" si="18"/>
        <v>-29</v>
      </c>
      <c r="L26" s="12">
        <f t="shared" si="7"/>
        <v>-1143.17719</v>
      </c>
      <c r="M26" s="19">
        <f t="shared" si="8"/>
        <v>-3.24909747292419</v>
      </c>
      <c r="N26" s="19">
        <f t="shared" si="9"/>
        <v>-4.05793680693977</v>
      </c>
      <c r="O26" s="12">
        <f t="shared" si="10"/>
        <v>268</v>
      </c>
      <c r="P26" s="12">
        <f t="shared" si="11"/>
        <v>10383.258365</v>
      </c>
      <c r="Q26" s="12">
        <f t="shared" si="12"/>
        <v>-9</v>
      </c>
      <c r="R26" s="12">
        <f t="shared" si="13"/>
        <v>-439.16719</v>
      </c>
      <c r="S26" s="12">
        <f t="shared" si="14"/>
        <v>-9</v>
      </c>
      <c r="T26" s="12">
        <f t="shared" si="15"/>
        <v>-439.16719</v>
      </c>
      <c r="U26" s="19">
        <f t="shared" si="16"/>
        <v>-3.24909747292419</v>
      </c>
      <c r="V26" s="19">
        <f t="shared" si="17"/>
        <v>-4.05793680693977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10361.005261</v>
      </c>
      <c r="AK26" s="47">
        <v>268</v>
      </c>
      <c r="AL26" s="47">
        <v>10361.005261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330</v>
      </c>
      <c r="D27" s="12">
        <v>10735.533604</v>
      </c>
      <c r="E27" s="12">
        <f t="shared" si="1"/>
        <v>-4</v>
      </c>
      <c r="F27" s="12">
        <f t="shared" si="2"/>
        <v>-146.199999999999</v>
      </c>
      <c r="G27" s="12">
        <f t="shared" si="3"/>
        <v>2</v>
      </c>
      <c r="H27" s="12">
        <f t="shared" si="4"/>
        <v>-682.931355999999</v>
      </c>
      <c r="I27" s="12">
        <f t="shared" si="5"/>
        <v>2</v>
      </c>
      <c r="J27" s="12">
        <f t="shared" si="6"/>
        <v>-682.931355999999</v>
      </c>
      <c r="K27" s="12">
        <f t="shared" si="18"/>
        <v>-30</v>
      </c>
      <c r="L27" s="12">
        <f t="shared" si="7"/>
        <v>-1307.201356</v>
      </c>
      <c r="M27" s="19">
        <f t="shared" si="8"/>
        <v>0.609756097560976</v>
      </c>
      <c r="N27" s="19">
        <f t="shared" si="9"/>
        <v>-5.98093840452613</v>
      </c>
      <c r="O27" s="12">
        <f t="shared" si="10"/>
        <v>330</v>
      </c>
      <c r="P27" s="12">
        <f t="shared" si="11"/>
        <v>10735.533604</v>
      </c>
      <c r="Q27" s="12">
        <f t="shared" si="12"/>
        <v>2</v>
      </c>
      <c r="R27" s="12">
        <f t="shared" si="13"/>
        <v>-682.931355999999</v>
      </c>
      <c r="S27" s="12">
        <f t="shared" si="14"/>
        <v>2</v>
      </c>
      <c r="T27" s="12">
        <f t="shared" si="15"/>
        <v>-682.931355999999</v>
      </c>
      <c r="U27" s="19">
        <f t="shared" si="16"/>
        <v>0.609756097560976</v>
      </c>
      <c r="V27" s="19">
        <f t="shared" si="17"/>
        <v>-5.98093840452613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334</v>
      </c>
      <c r="AJ27" s="47">
        <v>10881.733604</v>
      </c>
      <c r="AK27" s="47">
        <v>334</v>
      </c>
      <c r="AL27" s="47">
        <v>10881.733604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368</v>
      </c>
      <c r="D28" s="12">
        <v>19548.016756</v>
      </c>
      <c r="E28" s="12">
        <f t="shared" si="1"/>
        <v>-2</v>
      </c>
      <c r="F28" s="12">
        <f t="shared" si="2"/>
        <v>-64.7791609999986</v>
      </c>
      <c r="G28" s="12">
        <f t="shared" si="3"/>
        <v>6</v>
      </c>
      <c r="H28" s="12">
        <f t="shared" si="4"/>
        <v>-503.794284</v>
      </c>
      <c r="I28" s="12">
        <f t="shared" si="5"/>
        <v>6</v>
      </c>
      <c r="J28" s="12">
        <f t="shared" si="6"/>
        <v>-503.794284</v>
      </c>
      <c r="K28" s="12">
        <f t="shared" si="18"/>
        <v>-34</v>
      </c>
      <c r="L28" s="12">
        <f t="shared" si="7"/>
        <v>-1384.524284</v>
      </c>
      <c r="M28" s="19">
        <f t="shared" si="8"/>
        <v>1.65745856353591</v>
      </c>
      <c r="N28" s="19">
        <f t="shared" si="9"/>
        <v>-2.51246275458618</v>
      </c>
      <c r="O28" s="12">
        <f t="shared" si="10"/>
        <v>368</v>
      </c>
      <c r="P28" s="12">
        <f t="shared" si="11"/>
        <v>19548.016756</v>
      </c>
      <c r="Q28" s="12">
        <f t="shared" si="12"/>
        <v>6</v>
      </c>
      <c r="R28" s="12">
        <f t="shared" si="13"/>
        <v>-503.794284</v>
      </c>
      <c r="S28" s="12">
        <f t="shared" si="14"/>
        <v>6</v>
      </c>
      <c r="T28" s="12">
        <f t="shared" si="15"/>
        <v>-503.794284</v>
      </c>
      <c r="U28" s="19">
        <f t="shared" si="16"/>
        <v>1.65745856353591</v>
      </c>
      <c r="V28" s="19">
        <f t="shared" si="17"/>
        <v>-2.51246275458618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370</v>
      </c>
      <c r="AJ28" s="47">
        <v>19612.795917</v>
      </c>
      <c r="AK28" s="47">
        <v>370</v>
      </c>
      <c r="AL28" s="47">
        <v>19612.795917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329</v>
      </c>
      <c r="D29" s="12">
        <v>11127.771118</v>
      </c>
      <c r="E29" s="12">
        <f t="shared" si="1"/>
        <v>0</v>
      </c>
      <c r="F29" s="12">
        <f t="shared" si="2"/>
        <v>-43.517448999999</v>
      </c>
      <c r="G29" s="12">
        <f t="shared" si="3"/>
        <v>1</v>
      </c>
      <c r="H29" s="12">
        <f t="shared" si="4"/>
        <v>-866.89149</v>
      </c>
      <c r="I29" s="12">
        <f t="shared" si="5"/>
        <v>1</v>
      </c>
      <c r="J29" s="12">
        <f t="shared" si="6"/>
        <v>-866.89149</v>
      </c>
      <c r="K29" s="12">
        <f t="shared" si="18"/>
        <v>-34</v>
      </c>
      <c r="L29" s="12">
        <f t="shared" si="7"/>
        <v>-1414.60149</v>
      </c>
      <c r="M29" s="19">
        <f t="shared" si="8"/>
        <v>0.304878048780488</v>
      </c>
      <c r="N29" s="19">
        <f t="shared" si="9"/>
        <v>-7.22731033236246</v>
      </c>
      <c r="O29" s="12">
        <f t="shared" si="10"/>
        <v>330</v>
      </c>
      <c r="P29" s="12">
        <f t="shared" si="11"/>
        <v>11627.771118</v>
      </c>
      <c r="Q29" s="12">
        <f t="shared" si="12"/>
        <v>2</v>
      </c>
      <c r="R29" s="12">
        <f t="shared" si="13"/>
        <v>-366.89149</v>
      </c>
      <c r="S29" s="12">
        <f t="shared" si="14"/>
        <v>2</v>
      </c>
      <c r="T29" s="12">
        <f t="shared" si="15"/>
        <v>-366.89149</v>
      </c>
      <c r="U29" s="19">
        <f t="shared" si="16"/>
        <v>0.609756097560976</v>
      </c>
      <c r="V29" s="19">
        <f t="shared" si="17"/>
        <v>-3.05878957991946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329</v>
      </c>
      <c r="AJ29" s="47">
        <v>11171.288567</v>
      </c>
      <c r="AK29" s="47">
        <v>330</v>
      </c>
      <c r="AL29" s="47">
        <v>11671.288567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367</v>
      </c>
      <c r="D30" s="12">
        <v>10115.542895</v>
      </c>
      <c r="E30" s="12">
        <f t="shared" si="1"/>
        <v>3</v>
      </c>
      <c r="F30" s="12">
        <f t="shared" si="2"/>
        <v>177.599999999991</v>
      </c>
      <c r="G30" s="12">
        <f t="shared" si="3"/>
        <v>44</v>
      </c>
      <c r="H30" s="12">
        <f t="shared" si="4"/>
        <v>996.304745000001</v>
      </c>
      <c r="I30" s="12">
        <f t="shared" si="5"/>
        <v>44</v>
      </c>
      <c r="J30" s="12">
        <f t="shared" si="6"/>
        <v>996.304745000001</v>
      </c>
      <c r="K30" s="12">
        <f t="shared" si="18"/>
        <v>-51</v>
      </c>
      <c r="L30" s="12">
        <f t="shared" si="7"/>
        <v>-23.8352549999987</v>
      </c>
      <c r="M30" s="19">
        <f t="shared" si="8"/>
        <v>13.6222910216718</v>
      </c>
      <c r="N30" s="19">
        <f t="shared" si="9"/>
        <v>10.9253067922127</v>
      </c>
      <c r="O30" s="12">
        <f t="shared" si="10"/>
        <v>367</v>
      </c>
      <c r="P30" s="12">
        <f t="shared" si="11"/>
        <v>10115.542895</v>
      </c>
      <c r="Q30" s="12">
        <f t="shared" si="12"/>
        <v>44</v>
      </c>
      <c r="R30" s="12">
        <f t="shared" si="13"/>
        <v>996.304745000001</v>
      </c>
      <c r="S30" s="12">
        <f t="shared" si="14"/>
        <v>44</v>
      </c>
      <c r="T30" s="12">
        <f t="shared" si="15"/>
        <v>996.304745000001</v>
      </c>
      <c r="U30" s="19">
        <f t="shared" si="16"/>
        <v>13.6222910216718</v>
      </c>
      <c r="V30" s="19">
        <f t="shared" si="17"/>
        <v>10.9253067922127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364</v>
      </c>
      <c r="AJ30" s="47">
        <v>9937.94289500001</v>
      </c>
      <c r="AK30" s="47">
        <v>364</v>
      </c>
      <c r="AL30" s="47">
        <v>9937.94289500001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366</v>
      </c>
      <c r="D31" s="12">
        <v>10749.807668</v>
      </c>
      <c r="E31" s="12">
        <f t="shared" si="1"/>
        <v>-6</v>
      </c>
      <c r="F31" s="12">
        <f t="shared" si="2"/>
        <v>-85</v>
      </c>
      <c r="G31" s="12">
        <f t="shared" si="3"/>
        <v>1</v>
      </c>
      <c r="H31" s="12">
        <f t="shared" si="4"/>
        <v>-331.702067</v>
      </c>
      <c r="I31" s="12">
        <f t="shared" si="5"/>
        <v>1</v>
      </c>
      <c r="J31" s="12">
        <f t="shared" si="6"/>
        <v>-331.702067</v>
      </c>
      <c r="K31" s="12">
        <f t="shared" si="18"/>
        <v>-47</v>
      </c>
      <c r="L31" s="12">
        <f t="shared" si="7"/>
        <v>-841.672067000001</v>
      </c>
      <c r="M31" s="19">
        <f t="shared" si="8"/>
        <v>0.273972602739726</v>
      </c>
      <c r="N31" s="19">
        <f t="shared" si="9"/>
        <v>-2.99329310655522</v>
      </c>
      <c r="O31" s="12">
        <f t="shared" si="10"/>
        <v>366</v>
      </c>
      <c r="P31" s="12">
        <f t="shared" si="11"/>
        <v>10749.807668</v>
      </c>
      <c r="Q31" s="12">
        <f t="shared" si="12"/>
        <v>1</v>
      </c>
      <c r="R31" s="12">
        <f t="shared" si="13"/>
        <v>-331.702067</v>
      </c>
      <c r="S31" s="12">
        <f t="shared" si="14"/>
        <v>1</v>
      </c>
      <c r="T31" s="12">
        <f t="shared" si="15"/>
        <v>-331.702067</v>
      </c>
      <c r="U31" s="19">
        <f t="shared" si="16"/>
        <v>0.273972602739726</v>
      </c>
      <c r="V31" s="19">
        <f t="shared" si="17"/>
        <v>-2.99329310655522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372</v>
      </c>
      <c r="AJ31" s="47">
        <v>10834.807668</v>
      </c>
      <c r="AK31" s="47">
        <v>372</v>
      </c>
      <c r="AL31" s="47">
        <v>10834.807668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516</v>
      </c>
      <c r="D32" s="12">
        <v>12485.729772</v>
      </c>
      <c r="E32" s="12">
        <f t="shared" si="1"/>
        <v>1</v>
      </c>
      <c r="F32" s="12">
        <f t="shared" si="2"/>
        <v>71</v>
      </c>
      <c r="G32" s="12">
        <f t="shared" si="3"/>
        <v>16</v>
      </c>
      <c r="H32" s="12">
        <f t="shared" si="4"/>
        <v>35.0642700000008</v>
      </c>
      <c r="I32" s="12">
        <f t="shared" si="5"/>
        <v>16</v>
      </c>
      <c r="J32" s="12">
        <f t="shared" si="6"/>
        <v>35.0642700000008</v>
      </c>
      <c r="K32" s="12">
        <f t="shared" si="18"/>
        <v>-44</v>
      </c>
      <c r="L32" s="12">
        <f t="shared" si="7"/>
        <v>-316.825729999998</v>
      </c>
      <c r="M32" s="19">
        <f t="shared" si="8"/>
        <v>3.2</v>
      </c>
      <c r="N32" s="19">
        <f t="shared" si="9"/>
        <v>0.281625668879854</v>
      </c>
      <c r="O32" s="12">
        <f t="shared" si="10"/>
        <v>516</v>
      </c>
      <c r="P32" s="12">
        <f t="shared" si="11"/>
        <v>12485.729772</v>
      </c>
      <c r="Q32" s="12">
        <f t="shared" si="12"/>
        <v>16</v>
      </c>
      <c r="R32" s="12">
        <f t="shared" si="13"/>
        <v>35.0642700000008</v>
      </c>
      <c r="S32" s="30">
        <f t="shared" si="14"/>
        <v>16</v>
      </c>
      <c r="T32" s="12">
        <f t="shared" si="15"/>
        <v>35.0642700000008</v>
      </c>
      <c r="U32" s="19">
        <f t="shared" si="16"/>
        <v>3.2</v>
      </c>
      <c r="V32" s="19">
        <f t="shared" si="17"/>
        <v>0.281625668879854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515</v>
      </c>
      <c r="AJ32" s="47">
        <v>12414.729772</v>
      </c>
      <c r="AK32" s="47">
        <v>515</v>
      </c>
      <c r="AL32" s="47">
        <v>12414.729772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2120</v>
      </c>
      <c r="D33" s="12">
        <v>92216.837296</v>
      </c>
      <c r="E33" s="12">
        <f t="shared" si="1"/>
        <v>3</v>
      </c>
      <c r="F33" s="12">
        <f t="shared" si="2"/>
        <v>-36.6604820000066</v>
      </c>
      <c r="G33" s="12">
        <f t="shared" si="3"/>
        <v>-20</v>
      </c>
      <c r="H33" s="12">
        <f t="shared" si="4"/>
        <v>-6509.99254799991</v>
      </c>
      <c r="I33" s="12">
        <f t="shared" si="5"/>
        <v>-20</v>
      </c>
      <c r="J33" s="12">
        <f t="shared" si="6"/>
        <v>-6509.99254799991</v>
      </c>
      <c r="K33" s="12">
        <f t="shared" si="18"/>
        <v>-51</v>
      </c>
      <c r="L33" s="12">
        <f t="shared" si="7"/>
        <v>-5169.07254799991</v>
      </c>
      <c r="M33" s="19">
        <f t="shared" si="8"/>
        <v>-0.934579439252336</v>
      </c>
      <c r="N33" s="19">
        <f t="shared" si="9"/>
        <v>-6.59394468381743</v>
      </c>
      <c r="O33" s="12">
        <f t="shared" si="10"/>
        <v>2120</v>
      </c>
      <c r="P33" s="12">
        <f t="shared" si="11"/>
        <v>92216.837296</v>
      </c>
      <c r="Q33" s="12">
        <f t="shared" si="12"/>
        <v>-20</v>
      </c>
      <c r="R33" s="12">
        <f t="shared" si="13"/>
        <v>-6509.99254799991</v>
      </c>
      <c r="S33" s="30">
        <f t="shared" si="14"/>
        <v>-20</v>
      </c>
      <c r="T33" s="12">
        <f t="shared" si="15"/>
        <v>-6509.99254799991</v>
      </c>
      <c r="U33" s="19">
        <f t="shared" si="16"/>
        <v>-0.934579439252336</v>
      </c>
      <c r="V33" s="19">
        <f t="shared" si="17"/>
        <v>-6.59394468381743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2117</v>
      </c>
      <c r="AJ33" s="47">
        <v>92253.497778</v>
      </c>
      <c r="AK33" s="47">
        <v>2117</v>
      </c>
      <c r="AL33" s="47">
        <v>92253.497778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623</v>
      </c>
      <c r="D34" s="12">
        <v>28084.041329</v>
      </c>
      <c r="E34" s="12">
        <f t="shared" si="1"/>
        <v>2</v>
      </c>
      <c r="F34" s="12">
        <f t="shared" si="2"/>
        <v>12.5929660000002</v>
      </c>
      <c r="G34" s="12">
        <f t="shared" si="3"/>
        <v>14</v>
      </c>
      <c r="H34" s="12">
        <f t="shared" si="4"/>
        <v>803.337519000001</v>
      </c>
      <c r="I34" s="12">
        <f t="shared" si="5"/>
        <v>14</v>
      </c>
      <c r="J34" s="12">
        <f t="shared" si="6"/>
        <v>803.337519000001</v>
      </c>
      <c r="K34" s="12">
        <f t="shared" si="18"/>
        <v>-18</v>
      </c>
      <c r="L34" s="12">
        <f t="shared" si="7"/>
        <v>-452.182480999999</v>
      </c>
      <c r="M34" s="19">
        <f t="shared" si="8"/>
        <v>2.29885057471264</v>
      </c>
      <c r="N34" s="19">
        <f t="shared" si="9"/>
        <v>2.94470965483497</v>
      </c>
      <c r="O34" s="12">
        <f t="shared" si="10"/>
        <v>623</v>
      </c>
      <c r="P34" s="12">
        <f t="shared" si="11"/>
        <v>28084.041329</v>
      </c>
      <c r="Q34" s="12">
        <f t="shared" si="12"/>
        <v>14</v>
      </c>
      <c r="R34" s="12">
        <f t="shared" si="13"/>
        <v>803.337519000001</v>
      </c>
      <c r="S34" s="12">
        <f t="shared" si="14"/>
        <v>14</v>
      </c>
      <c r="T34" s="12">
        <f t="shared" si="15"/>
        <v>803.337519000001</v>
      </c>
      <c r="U34" s="19">
        <f t="shared" si="16"/>
        <v>2.29885057471264</v>
      </c>
      <c r="V34" s="19">
        <f t="shared" si="17"/>
        <v>2.94470965483497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621</v>
      </c>
      <c r="AJ34" s="47">
        <v>28071.448363</v>
      </c>
      <c r="AK34" s="47">
        <v>621</v>
      </c>
      <c r="AL34" s="47">
        <v>28071.448363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2488</v>
      </c>
      <c r="D35" s="12">
        <v>96058</v>
      </c>
      <c r="E35" s="12">
        <f t="shared" si="1"/>
        <v>1</v>
      </c>
      <c r="F35" s="12">
        <f t="shared" si="2"/>
        <v>84</v>
      </c>
      <c r="G35" s="12">
        <f t="shared" si="3"/>
        <v>-33</v>
      </c>
      <c r="H35" s="12">
        <f t="shared" si="4"/>
        <v>-1346</v>
      </c>
      <c r="I35" s="12">
        <f t="shared" si="5"/>
        <v>-33</v>
      </c>
      <c r="J35" s="12">
        <f t="shared" si="6"/>
        <v>-1346</v>
      </c>
      <c r="K35" s="12">
        <f t="shared" si="18"/>
        <v>-156</v>
      </c>
      <c r="L35" s="12">
        <f t="shared" si="7"/>
        <v>-6660</v>
      </c>
      <c r="M35" s="19">
        <f t="shared" si="8"/>
        <v>-1.30900436334788</v>
      </c>
      <c r="N35" s="19">
        <f t="shared" si="9"/>
        <v>-1.38187343435588</v>
      </c>
      <c r="O35" s="12">
        <f t="shared" si="10"/>
        <v>2488</v>
      </c>
      <c r="P35" s="12">
        <f t="shared" si="11"/>
        <v>96058</v>
      </c>
      <c r="Q35" s="12">
        <f t="shared" si="12"/>
        <v>-33</v>
      </c>
      <c r="R35" s="12">
        <f t="shared" si="13"/>
        <v>-1346</v>
      </c>
      <c r="S35" s="12">
        <f t="shared" si="14"/>
        <v>-33</v>
      </c>
      <c r="T35" s="12">
        <f t="shared" si="15"/>
        <v>-1346</v>
      </c>
      <c r="U35" s="19">
        <f t="shared" si="16"/>
        <v>-1.30900436334788</v>
      </c>
      <c r="V35" s="19">
        <f t="shared" si="17"/>
        <v>-1.38187343435588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2487</v>
      </c>
      <c r="AJ35" s="47">
        <v>95974</v>
      </c>
      <c r="AK35" s="47">
        <v>2487</v>
      </c>
      <c r="AL35" s="47">
        <v>95974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2538</v>
      </c>
      <c r="D36" s="12">
        <v>84238</v>
      </c>
      <c r="E36" s="12">
        <f t="shared" si="1"/>
        <v>-2</v>
      </c>
      <c r="F36" s="12">
        <f t="shared" si="2"/>
        <v>-34</v>
      </c>
      <c r="G36" s="12">
        <f t="shared" si="3"/>
        <v>-5</v>
      </c>
      <c r="H36" s="12">
        <f t="shared" si="4"/>
        <v>-327</v>
      </c>
      <c r="I36" s="12">
        <f t="shared" si="5"/>
        <v>-5</v>
      </c>
      <c r="J36" s="12">
        <f t="shared" si="6"/>
        <v>-327</v>
      </c>
      <c r="K36" s="12">
        <f t="shared" si="18"/>
        <v>-8</v>
      </c>
      <c r="L36" s="12">
        <f t="shared" si="7"/>
        <v>-333</v>
      </c>
      <c r="M36" s="19">
        <f t="shared" si="8"/>
        <v>-0.196618167518679</v>
      </c>
      <c r="N36" s="19">
        <f t="shared" si="9"/>
        <v>-0.386684798675575</v>
      </c>
      <c r="O36" s="12">
        <f t="shared" si="10"/>
        <v>2538</v>
      </c>
      <c r="P36" s="12">
        <f t="shared" si="11"/>
        <v>84238</v>
      </c>
      <c r="Q36" s="12">
        <f t="shared" si="12"/>
        <v>-5</v>
      </c>
      <c r="R36" s="12">
        <f t="shared" si="13"/>
        <v>-327</v>
      </c>
      <c r="S36" s="12">
        <f t="shared" si="14"/>
        <v>-5</v>
      </c>
      <c r="T36" s="12">
        <f t="shared" si="15"/>
        <v>-327</v>
      </c>
      <c r="U36" s="19">
        <f t="shared" si="16"/>
        <v>-0.196618167518679</v>
      </c>
      <c r="V36" s="19">
        <f t="shared" si="17"/>
        <v>-0.386684798675575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2540</v>
      </c>
      <c r="AJ36" s="47">
        <v>84272</v>
      </c>
      <c r="AK36" s="47">
        <v>2540</v>
      </c>
      <c r="AL36" s="47">
        <v>84272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305</v>
      </c>
      <c r="D37" s="12">
        <v>13328.638856</v>
      </c>
      <c r="E37" s="12">
        <f t="shared" si="1"/>
        <v>-1</v>
      </c>
      <c r="F37" s="12">
        <f t="shared" si="2"/>
        <v>-109.300000000001</v>
      </c>
      <c r="G37" s="12">
        <f t="shared" si="3"/>
        <v>12</v>
      </c>
      <c r="H37" s="12">
        <f t="shared" si="4"/>
        <v>-324.540000000001</v>
      </c>
      <c r="I37" s="12">
        <f t="shared" si="5"/>
        <v>12</v>
      </c>
      <c r="J37" s="12">
        <f t="shared" si="6"/>
        <v>-324.540000000001</v>
      </c>
      <c r="K37" s="12">
        <f t="shared" si="18"/>
        <v>-32</v>
      </c>
      <c r="L37" s="12">
        <f t="shared" si="7"/>
        <v>-1330.15</v>
      </c>
      <c r="M37" s="19">
        <f t="shared" si="8"/>
        <v>4.09556313993174</v>
      </c>
      <c r="N37" s="19">
        <f t="shared" si="9"/>
        <v>-2.37702884744221</v>
      </c>
      <c r="O37" s="12">
        <f t="shared" si="10"/>
        <v>305</v>
      </c>
      <c r="P37" s="12">
        <f t="shared" si="11"/>
        <v>13328.638856</v>
      </c>
      <c r="Q37" s="12">
        <f t="shared" si="12"/>
        <v>12</v>
      </c>
      <c r="R37" s="12">
        <f t="shared" si="13"/>
        <v>-324.540000000001</v>
      </c>
      <c r="S37" s="12">
        <f t="shared" si="14"/>
        <v>12</v>
      </c>
      <c r="T37" s="12">
        <f t="shared" si="15"/>
        <v>-324.540000000001</v>
      </c>
      <c r="U37" s="19">
        <f t="shared" si="16"/>
        <v>4.09556313993174</v>
      </c>
      <c r="V37" s="19">
        <f t="shared" si="17"/>
        <v>-2.37702884744221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306</v>
      </c>
      <c r="AJ37" s="47">
        <v>13437.938856</v>
      </c>
      <c r="AK37" s="47">
        <v>306</v>
      </c>
      <c r="AL37" s="47">
        <v>13437.938856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439</v>
      </c>
      <c r="D38" s="12">
        <v>19422.659486</v>
      </c>
      <c r="E38" s="12">
        <f t="shared" si="1"/>
        <v>-1</v>
      </c>
      <c r="F38" s="12">
        <f t="shared" si="2"/>
        <v>124.560078999999</v>
      </c>
      <c r="G38" s="12">
        <f t="shared" si="3"/>
        <v>-5</v>
      </c>
      <c r="H38" s="12">
        <f t="shared" si="4"/>
        <v>-306.065616</v>
      </c>
      <c r="I38" s="12">
        <f t="shared" si="5"/>
        <v>-5</v>
      </c>
      <c r="J38" s="12">
        <f t="shared" si="6"/>
        <v>-306.065616</v>
      </c>
      <c r="K38" s="12">
        <f t="shared" si="18"/>
        <v>-45</v>
      </c>
      <c r="L38" s="12">
        <f t="shared" si="7"/>
        <v>-1325.065616</v>
      </c>
      <c r="M38" s="19">
        <f t="shared" si="8"/>
        <v>-1.12612612612613</v>
      </c>
      <c r="N38" s="19">
        <f t="shared" si="9"/>
        <v>-1.55137047334585</v>
      </c>
      <c r="O38" s="12">
        <f t="shared" si="10"/>
        <v>439</v>
      </c>
      <c r="P38" s="12">
        <f t="shared" si="11"/>
        <v>19422.659486</v>
      </c>
      <c r="Q38" s="12">
        <f t="shared" si="12"/>
        <v>-5</v>
      </c>
      <c r="R38" s="12">
        <f t="shared" si="13"/>
        <v>-306.065616</v>
      </c>
      <c r="S38" s="12">
        <f t="shared" si="14"/>
        <v>-5</v>
      </c>
      <c r="T38" s="12">
        <f t="shared" si="15"/>
        <v>-306.065616</v>
      </c>
      <c r="U38" s="19">
        <f t="shared" si="16"/>
        <v>-1.12612612612613</v>
      </c>
      <c r="V38" s="19">
        <f t="shared" si="17"/>
        <v>-1.55137047334585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440</v>
      </c>
      <c r="AJ38" s="47">
        <v>19298.099407</v>
      </c>
      <c r="AK38" s="47">
        <v>440</v>
      </c>
      <c r="AL38" s="47">
        <v>19298.099407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419</v>
      </c>
      <c r="D39" s="12">
        <v>18570.600967</v>
      </c>
      <c r="E39" s="12">
        <f t="shared" si="1"/>
        <v>1</v>
      </c>
      <c r="F39" s="12">
        <f t="shared" si="2"/>
        <v>30.3385509999971</v>
      </c>
      <c r="G39" s="12">
        <f t="shared" si="3"/>
        <v>15</v>
      </c>
      <c r="H39" s="12">
        <f t="shared" si="4"/>
        <v>1012.162484</v>
      </c>
      <c r="I39" s="12">
        <f t="shared" si="5"/>
        <v>15</v>
      </c>
      <c r="J39" s="12">
        <f t="shared" si="6"/>
        <v>1012.162484</v>
      </c>
      <c r="K39" s="12">
        <f t="shared" si="18"/>
        <v>-3</v>
      </c>
      <c r="L39" s="12">
        <f t="shared" si="7"/>
        <v>10.9824839999968</v>
      </c>
      <c r="M39" s="19">
        <f t="shared" si="8"/>
        <v>3.71287128712871</v>
      </c>
      <c r="N39" s="19">
        <f t="shared" si="9"/>
        <v>5.76453586678547</v>
      </c>
      <c r="O39" s="12">
        <f t="shared" si="10"/>
        <v>419</v>
      </c>
      <c r="P39" s="12">
        <f t="shared" si="11"/>
        <v>18570.600967</v>
      </c>
      <c r="Q39" s="12">
        <f t="shared" si="12"/>
        <v>15</v>
      </c>
      <c r="R39" s="12">
        <f t="shared" si="13"/>
        <v>1012.162484</v>
      </c>
      <c r="S39" s="12">
        <f t="shared" si="14"/>
        <v>15</v>
      </c>
      <c r="T39" s="12">
        <f t="shared" si="15"/>
        <v>1012.162484</v>
      </c>
      <c r="U39" s="19">
        <f t="shared" si="16"/>
        <v>3.71287128712871</v>
      </c>
      <c r="V39" s="19">
        <f t="shared" si="17"/>
        <v>5.76453586678547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418</v>
      </c>
      <c r="AJ39" s="47">
        <v>18540.262416</v>
      </c>
      <c r="AK39" s="47">
        <v>418</v>
      </c>
      <c r="AL39" s="47">
        <v>18540.262416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331</v>
      </c>
      <c r="D40" s="12">
        <v>428645.974804</v>
      </c>
      <c r="E40" s="12">
        <f t="shared" si="1"/>
        <v>0</v>
      </c>
      <c r="F40" s="12">
        <f t="shared" si="2"/>
        <v>-500</v>
      </c>
      <c r="G40" s="12">
        <f t="shared" si="3"/>
        <v>7</v>
      </c>
      <c r="H40" s="12">
        <f t="shared" si="4"/>
        <v>10015</v>
      </c>
      <c r="I40" s="12">
        <f t="shared" si="5"/>
        <v>7</v>
      </c>
      <c r="J40" s="12">
        <f t="shared" si="6"/>
        <v>10015</v>
      </c>
      <c r="K40" s="12">
        <f t="shared" si="18"/>
        <v>-4</v>
      </c>
      <c r="L40" s="12">
        <f t="shared" si="7"/>
        <v>792.02999999997</v>
      </c>
      <c r="M40" s="19">
        <f t="shared" si="8"/>
        <v>2.16049382716049</v>
      </c>
      <c r="N40" s="19">
        <f t="shared" si="9"/>
        <v>2.39232178285158</v>
      </c>
      <c r="O40" s="12">
        <f t="shared" si="10"/>
        <v>330</v>
      </c>
      <c r="P40" s="12">
        <f t="shared" si="11"/>
        <v>428145.974804</v>
      </c>
      <c r="Q40" s="12">
        <f t="shared" si="12"/>
        <v>6</v>
      </c>
      <c r="R40" s="12">
        <f t="shared" si="13"/>
        <v>9515</v>
      </c>
      <c r="S40" s="12">
        <f t="shared" si="14"/>
        <v>6</v>
      </c>
      <c r="T40" s="12">
        <f t="shared" si="15"/>
        <v>9515</v>
      </c>
      <c r="U40" s="19">
        <f t="shared" si="16"/>
        <v>1.85185185185185</v>
      </c>
      <c r="V40" s="19">
        <f t="shared" si="17"/>
        <v>2.27288484910961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331</v>
      </c>
      <c r="AJ40" s="47">
        <v>429145.974804</v>
      </c>
      <c r="AK40" s="47">
        <v>330</v>
      </c>
      <c r="AL40" s="47">
        <v>428645.974804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17523.195926</v>
      </c>
      <c r="E41" s="12">
        <f t="shared" si="1"/>
        <v>0</v>
      </c>
      <c r="F41" s="12">
        <f t="shared" si="2"/>
        <v>0</v>
      </c>
      <c r="G41" s="12">
        <f t="shared" si="3"/>
        <v>-1</v>
      </c>
      <c r="H41" s="12">
        <f t="shared" si="4"/>
        <v>-82.6301889999995</v>
      </c>
      <c r="I41" s="12">
        <f t="shared" si="5"/>
        <v>-1</v>
      </c>
      <c r="J41" s="12">
        <f t="shared" si="6"/>
        <v>-82.6301889999995</v>
      </c>
      <c r="K41" s="12">
        <f t="shared" si="18"/>
        <v>-35</v>
      </c>
      <c r="L41" s="12">
        <f t="shared" si="7"/>
        <v>-1003.390189</v>
      </c>
      <c r="M41" s="19">
        <f t="shared" si="8"/>
        <v>-0.284090909090909</v>
      </c>
      <c r="N41" s="19">
        <f t="shared" si="9"/>
        <v>-0.469334346825108</v>
      </c>
      <c r="O41" s="12">
        <f>C41+W41+AA41-AC41+Y41</f>
        <v>351</v>
      </c>
      <c r="P41" s="12">
        <f>D41+X41+AB41-AD41+Z41</f>
        <v>17523.195926</v>
      </c>
      <c r="Q41" s="12">
        <f t="shared" si="12"/>
        <v>-1</v>
      </c>
      <c r="R41" s="12">
        <f t="shared" si="13"/>
        <v>-82.6301889999995</v>
      </c>
      <c r="S41" s="12">
        <f t="shared" si="14"/>
        <v>-1</v>
      </c>
      <c r="T41" s="12">
        <f t="shared" si="15"/>
        <v>-82.6301889999995</v>
      </c>
      <c r="U41" s="19">
        <f t="shared" si="16"/>
        <v>-0.284090909090909</v>
      </c>
      <c r="V41" s="19">
        <f t="shared" si="17"/>
        <v>-0.469334346825108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17523.195926</v>
      </c>
      <c r="AK41" s="47">
        <v>351</v>
      </c>
      <c r="AL41" s="47">
        <v>17523.195926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1743657</v>
      </c>
      <c r="E42" s="16"/>
      <c r="F42" s="12">
        <v>-12477</v>
      </c>
      <c r="G42" s="16"/>
      <c r="H42" s="12">
        <v>5715</v>
      </c>
      <c r="I42" s="16"/>
      <c r="J42" s="12">
        <v>5715</v>
      </c>
      <c r="K42" s="12"/>
      <c r="L42" s="12"/>
      <c r="M42" s="20"/>
      <c r="N42" s="19">
        <v>0.33</v>
      </c>
      <c r="O42" s="12" t="s">
        <v>65</v>
      </c>
      <c r="P42" s="12">
        <v>344245</v>
      </c>
      <c r="Q42" s="16"/>
      <c r="R42" s="12">
        <v>-255</v>
      </c>
      <c r="S42" s="16"/>
      <c r="T42" s="12">
        <v>-255</v>
      </c>
      <c r="U42" s="16"/>
      <c r="V42" s="19">
        <v>-0.07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2026-01-16T01:11:44Z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