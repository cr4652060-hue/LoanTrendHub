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<sst xmlns="http://schemas.openxmlformats.org/spreadsheetml/2006/main" count="139" uniqueCount="66">
  <si>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</si>
  <si>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2026.01.09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</si>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</sst>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H8" sqref="H8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24957</v>
      </c>
      <c r="D6" s="12">
        <f>SUM(D7:D41)</f>
        <v>1411790.331875</v>
      </c>
      <c r="E6" s="12">
        <f>C6-AI6</f>
        <v>50</v>
      </c>
      <c r="F6" s="12">
        <f>D6-AJ6</f>
        <v>7857.85641000024</v>
      </c>
      <c r="G6" s="12">
        <f>C6-AM6</f>
        <v>366</v>
      </c>
      <c r="H6" s="12">
        <f>D6-AN6</f>
        <v>18348.7858880002</v>
      </c>
      <c r="I6" s="12">
        <f>C6-AE6</f>
        <v>366</v>
      </c>
      <c r="J6" s="12">
        <f>D6-AF6</f>
        <v>18348.7858880002</v>
      </c>
      <c r="K6" s="12">
        <f>I6-AS6</f>
        <v>-1166</v>
      </c>
      <c r="L6" s="12">
        <f>J6-AT6</f>
        <v>-25501.7041119996</v>
      </c>
      <c r="M6" s="19">
        <f>I6/AE6*100</f>
        <v>1.48834939612053</v>
      </c>
      <c r="N6" s="19">
        <f>J6/AF6*100</f>
        <v>1.31679624027597</v>
      </c>
      <c r="O6" s="12">
        <f>C6+Y6</f>
        <v>24957</v>
      </c>
      <c r="P6" s="12">
        <f>D6+Z6</f>
        <v>1411790.331875</v>
      </c>
      <c r="Q6" s="12">
        <f>O6-AO6</f>
        <v>366</v>
      </c>
      <c r="R6" s="12">
        <f>P6-AP6</f>
        <v>18348.7858880002</v>
      </c>
      <c r="S6" s="30">
        <f>O6-AG6</f>
        <v>366</v>
      </c>
      <c r="T6" s="12">
        <f>P6-AH6</f>
        <v>18348.7858880002</v>
      </c>
      <c r="U6" s="19">
        <f>S6/AG6*100</f>
        <v>1.48834939612053</v>
      </c>
      <c r="V6" s="19">
        <f>T6/AH6*100</f>
        <v>1.31679624027597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24907</v>
      </c>
      <c r="AJ6" s="47">
        <v>1403932.475465</v>
      </c>
      <c r="AK6" s="47">
        <v>24907</v>
      </c>
      <c r="AL6" s="48">
        <v>1403932.475465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1661</v>
      </c>
      <c r="D7" s="12">
        <v>82522.499895</v>
      </c>
      <c r="E7" s="12">
        <f>C7-AI7</f>
        <v>9</v>
      </c>
      <c r="F7" s="12">
        <f>D7-AJ7</f>
        <v>1481.368722</v>
      </c>
      <c r="G7" s="12">
        <f>C7-AM7</f>
        <v>4</v>
      </c>
      <c r="H7" s="12">
        <f>D7-AN7</f>
        <v>112.583998999995</v>
      </c>
      <c r="I7" s="12">
        <f>C7-AE7</f>
        <v>4</v>
      </c>
      <c r="J7" s="12">
        <f>D7-AF7</f>
        <v>112.583998999995</v>
      </c>
      <c r="K7" s="12">
        <f t="shared" ref="K6:K12" si="0">I7-AS7</f>
        <v>-27</v>
      </c>
      <c r="L7" s="12">
        <f>J7-AT7</f>
        <v>-1394.95600100002</v>
      </c>
      <c r="M7" s="19">
        <f>I7/AE7*100</f>
        <v>0.24140012070006</v>
      </c>
      <c r="N7" s="19">
        <f>J7/AF7*100</f>
        <v>0.136614626742338</v>
      </c>
      <c r="O7" s="12">
        <f>C7+W7+AA7-AC7</f>
        <v>1661</v>
      </c>
      <c r="P7" s="12">
        <f>D7+X7+AB7-AD7</f>
        <v>82522.499895</v>
      </c>
      <c r="Q7" s="12">
        <f>O7-AO7</f>
        <v>4</v>
      </c>
      <c r="R7" s="12">
        <f>P7-AP7</f>
        <v>112.583998999995</v>
      </c>
      <c r="S7" s="12">
        <f>O7-AG7</f>
        <v>4</v>
      </c>
      <c r="T7" s="12">
        <f>P7-AH7</f>
        <v>112.583998999995</v>
      </c>
      <c r="U7" s="19">
        <f>S7/AG7*100</f>
        <v>0.24140012070006</v>
      </c>
      <c r="V7" s="19">
        <f>T7/AH7*100</f>
        <v>0.136614626742338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1652</v>
      </c>
      <c r="AJ7" s="47">
        <v>81041.131173</v>
      </c>
      <c r="AK7" s="47">
        <v>1652</v>
      </c>
      <c r="AL7" s="47">
        <v>81041.131173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1930</v>
      </c>
      <c r="D8" s="12">
        <v>123755.450764</v>
      </c>
      <c r="E8" s="12">
        <f>C8-AI8</f>
        <v>4</v>
      </c>
      <c r="F8" s="12">
        <f>D8-AJ8</f>
        <v>815.142050999988</v>
      </c>
      <c r="G8" s="12">
        <f>C8-AM8</f>
        <v>5</v>
      </c>
      <c r="H8" s="12">
        <f>D8-AN8</f>
        <v>527.08116799999</v>
      </c>
      <c r="I8" s="12">
        <f>C8-AE8</f>
        <v>5</v>
      </c>
      <c r="J8" s="12">
        <f>D8-AF8</f>
        <v>527.08116799999</v>
      </c>
      <c r="K8" s="12">
        <f t="shared" si="0"/>
        <v>5</v>
      </c>
      <c r="L8" s="12">
        <f>J8-AT8</f>
        <v>1640.931168</v>
      </c>
      <c r="M8" s="19">
        <f>I8/AE8*100</f>
        <v>0.25974025974026</v>
      </c>
      <c r="N8" s="19">
        <f>J8/AF8*100</f>
        <v>0.427727129497864</v>
      </c>
      <c r="O8" s="12">
        <f>C8+W8+AA8-AC8</f>
        <v>1930</v>
      </c>
      <c r="P8" s="12">
        <f>D8+X8+AB8-AD8</f>
        <v>123755.450764</v>
      </c>
      <c r="Q8" s="12">
        <f>O8-AO8</f>
        <v>5</v>
      </c>
      <c r="R8" s="12">
        <f>P8-AP8</f>
        <v>527.08116799999</v>
      </c>
      <c r="S8" s="30">
        <f>O8-AG8</f>
        <v>5</v>
      </c>
      <c r="T8" s="12">
        <f>P8-AH8</f>
        <v>527.08116799999</v>
      </c>
      <c r="U8" s="19">
        <f>S8/AG8*100</f>
        <v>0.25974025974026</v>
      </c>
      <c r="V8" s="19">
        <f>T8/AH8*100</f>
        <v>0.427727129497864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1926</v>
      </c>
      <c r="AJ8" s="47">
        <v>122940.308713</v>
      </c>
      <c r="AK8" s="47">
        <v>1926</v>
      </c>
      <c r="AL8" s="47">
        <v>122940.308713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760</v>
      </c>
      <c r="D9" s="12">
        <v>23777.660906</v>
      </c>
      <c r="E9" s="12">
        <f t="shared" ref="E9:E41" si="1">C9-AI9</f>
        <v>0</v>
      </c>
      <c r="F9" s="12">
        <f t="shared" ref="F9:F41" si="2">D9-AJ9</f>
        <v>113.001979000001</v>
      </c>
      <c r="G9" s="12">
        <f t="shared" ref="G9:G41" si="3">C9-AM9</f>
        <v>47</v>
      </c>
      <c r="H9" s="12">
        <f t="shared" ref="H9:H41" si="4">D9-AN9</f>
        <v>659.365669999999</v>
      </c>
      <c r="I9" s="12">
        <f t="shared" ref="I9:I41" si="5">C9-AE9</f>
        <v>47</v>
      </c>
      <c r="J9" s="12">
        <f t="shared" ref="J9:J41" si="6">D9-AF9</f>
        <v>659.365669999999</v>
      </c>
      <c r="K9" s="12">
        <f t="shared" si="0"/>
        <v>-54</v>
      </c>
      <c r="L9" s="12">
        <f t="shared" ref="L9:L41" si="7">J9-AT9</f>
        <v>-593.714330000001</v>
      </c>
      <c r="M9" s="19">
        <f t="shared" ref="M9:M41" si="8">I9/AE9*100</f>
        <v>6.59186535764376</v>
      </c>
      <c r="N9" s="19">
        <f t="shared" ref="N9:N41" si="9">J9/AF9*100</f>
        <v>2.85213794213178</v>
      </c>
      <c r="O9" s="12">
        <f t="shared" ref="O9:O40" si="10">C9+W9+AA9-AC9</f>
        <v>760</v>
      </c>
      <c r="P9" s="12">
        <f t="shared" ref="P9:P40" si="11">D9+X9+AB9-AD9</f>
        <v>23777.660906</v>
      </c>
      <c r="Q9" s="12">
        <f t="shared" ref="Q9:Q41" si="12">O9-AO9</f>
        <v>47</v>
      </c>
      <c r="R9" s="12">
        <f t="shared" ref="R9:R41" si="13">P9-AP9</f>
        <v>659.365669999999</v>
      </c>
      <c r="S9" s="12">
        <f t="shared" ref="S9:S41" si="14">O9-AG9</f>
        <v>47</v>
      </c>
      <c r="T9" s="12">
        <f t="shared" ref="T9:T41" si="15">P9-AH9</f>
        <v>659.365669999999</v>
      </c>
      <c r="U9" s="19">
        <f t="shared" ref="U9:U41" si="16">S9/AG9*100</f>
        <v>6.59186535764376</v>
      </c>
      <c r="V9" s="19">
        <f t="shared" ref="V9:V41" si="17">T9/AH9*100</f>
        <v>2.85213794213178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760</v>
      </c>
      <c r="AJ9" s="47">
        <v>23664.658927</v>
      </c>
      <c r="AK9" s="47">
        <v>760</v>
      </c>
      <c r="AL9" s="47">
        <v>23664.658927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927</v>
      </c>
      <c r="D10" s="12">
        <v>27859.075408</v>
      </c>
      <c r="E10" s="12">
        <f t="shared" si="1"/>
        <v>3</v>
      </c>
      <c r="F10" s="12">
        <f t="shared" si="2"/>
        <v>-12.0379329999996</v>
      </c>
      <c r="G10" s="12">
        <f t="shared" si="3"/>
        <v>36</v>
      </c>
      <c r="H10" s="12">
        <f t="shared" si="4"/>
        <v>-16.6256670000002</v>
      </c>
      <c r="I10" s="12">
        <f t="shared" si="5"/>
        <v>36</v>
      </c>
      <c r="J10" s="12">
        <f t="shared" si="6"/>
        <v>-16.6256670000002</v>
      </c>
      <c r="K10" s="12">
        <f t="shared" si="0"/>
        <v>18</v>
      </c>
      <c r="L10" s="12">
        <f t="shared" si="7"/>
        <v>-1727.395667</v>
      </c>
      <c r="M10" s="19">
        <f t="shared" si="8"/>
        <v>4.04040404040404</v>
      </c>
      <c r="N10" s="19">
        <f t="shared" si="9"/>
        <v>-0.0596421483903441</v>
      </c>
      <c r="O10" s="12">
        <f t="shared" si="10"/>
        <v>927</v>
      </c>
      <c r="P10" s="12">
        <f t="shared" si="11"/>
        <v>27859.075408</v>
      </c>
      <c r="Q10" s="12">
        <f t="shared" si="12"/>
        <v>36</v>
      </c>
      <c r="R10" s="12">
        <f t="shared" si="13"/>
        <v>-16.6256670000002</v>
      </c>
      <c r="S10" s="12">
        <f t="shared" si="14"/>
        <v>36</v>
      </c>
      <c r="T10" s="12">
        <f t="shared" si="15"/>
        <v>-16.6256670000002</v>
      </c>
      <c r="U10" s="19">
        <f t="shared" si="16"/>
        <v>4.04040404040404</v>
      </c>
      <c r="V10" s="19">
        <f t="shared" si="17"/>
        <v>-0.0596421483903441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924</v>
      </c>
      <c r="AJ10" s="47">
        <v>27871.113341</v>
      </c>
      <c r="AK10" s="47">
        <v>924</v>
      </c>
      <c r="AL10" s="47">
        <v>27871.113341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519</v>
      </c>
      <c r="D11" s="12">
        <v>12721.011814</v>
      </c>
      <c r="E11" s="12">
        <f t="shared" si="1"/>
        <v>2</v>
      </c>
      <c r="F11" s="12">
        <f t="shared" si="2"/>
        <v>26</v>
      </c>
      <c r="G11" s="12">
        <f t="shared" si="3"/>
        <v>28</v>
      </c>
      <c r="H11" s="12">
        <f t="shared" si="4"/>
        <v>579.539999999999</v>
      </c>
      <c r="I11" s="12">
        <f t="shared" si="5"/>
        <v>28</v>
      </c>
      <c r="J11" s="12">
        <f t="shared" si="6"/>
        <v>579.539999999999</v>
      </c>
      <c r="K11" s="12">
        <f t="shared" si="0"/>
        <v>-11</v>
      </c>
      <c r="L11" s="12">
        <f t="shared" si="7"/>
        <v>-357.120000000001</v>
      </c>
      <c r="M11" s="19">
        <f t="shared" si="8"/>
        <v>5.70264765784114</v>
      </c>
      <c r="N11" s="19">
        <f t="shared" si="9"/>
        <v>4.77322691085728</v>
      </c>
      <c r="O11" s="12">
        <f t="shared" si="10"/>
        <v>519</v>
      </c>
      <c r="P11" s="12">
        <f t="shared" si="11"/>
        <v>12721.011814</v>
      </c>
      <c r="Q11" s="12">
        <f t="shared" si="12"/>
        <v>28</v>
      </c>
      <c r="R11" s="12">
        <f t="shared" si="13"/>
        <v>579.539999999999</v>
      </c>
      <c r="S11" s="12">
        <f t="shared" si="14"/>
        <v>28</v>
      </c>
      <c r="T11" s="12">
        <f t="shared" si="15"/>
        <v>579.539999999999</v>
      </c>
      <c r="U11" s="19">
        <f t="shared" si="16"/>
        <v>5.70264765784114</v>
      </c>
      <c r="V11" s="19">
        <f t="shared" si="17"/>
        <v>4.77322691085728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517</v>
      </c>
      <c r="AJ11" s="47">
        <v>12695.011814</v>
      </c>
      <c r="AK11" s="47">
        <v>517</v>
      </c>
      <c r="AL11" s="47">
        <v>12695.011814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394</v>
      </c>
      <c r="D12" s="12">
        <v>14562.016437</v>
      </c>
      <c r="E12" s="12">
        <f t="shared" si="1"/>
        <v>2</v>
      </c>
      <c r="F12" s="12">
        <f t="shared" si="2"/>
        <v>402.544836999999</v>
      </c>
      <c r="G12" s="12">
        <f t="shared" si="3"/>
        <v>36</v>
      </c>
      <c r="H12" s="12">
        <f t="shared" si="4"/>
        <v>1186.7701</v>
      </c>
      <c r="I12" s="12">
        <f t="shared" si="5"/>
        <v>36</v>
      </c>
      <c r="J12" s="12">
        <f t="shared" si="6"/>
        <v>1186.7701</v>
      </c>
      <c r="K12" s="12">
        <f t="shared" si="0"/>
        <v>-37</v>
      </c>
      <c r="L12" s="12">
        <f t="shared" si="7"/>
        <v>-307.2299</v>
      </c>
      <c r="M12" s="19">
        <f t="shared" si="8"/>
        <v>10.0558659217877</v>
      </c>
      <c r="N12" s="19">
        <f t="shared" si="9"/>
        <v>8.87288405834465</v>
      </c>
      <c r="O12" s="12">
        <f t="shared" si="10"/>
        <v>394</v>
      </c>
      <c r="P12" s="12">
        <f t="shared" si="11"/>
        <v>14562.016437</v>
      </c>
      <c r="Q12" s="12">
        <f t="shared" si="12"/>
        <v>36</v>
      </c>
      <c r="R12" s="12">
        <f t="shared" si="13"/>
        <v>1186.7701</v>
      </c>
      <c r="S12" s="30">
        <f t="shared" si="14"/>
        <v>36</v>
      </c>
      <c r="T12" s="12">
        <f t="shared" si="15"/>
        <v>1186.7701</v>
      </c>
      <c r="U12" s="19">
        <f t="shared" si="16"/>
        <v>10.0558659217877</v>
      </c>
      <c r="V12" s="19">
        <f t="shared" si="17"/>
        <v>8.87288405834465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392</v>
      </c>
      <c r="AJ12" s="47">
        <v>14159.4716</v>
      </c>
      <c r="AK12" s="47">
        <v>392</v>
      </c>
      <c r="AL12" s="47">
        <v>14159.4716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461</v>
      </c>
      <c r="D13" s="12">
        <v>12255.479215</v>
      </c>
      <c r="E13" s="12">
        <f t="shared" si="1"/>
        <v>0</v>
      </c>
      <c r="F13" s="12">
        <f t="shared" si="2"/>
        <v>-45</v>
      </c>
      <c r="G13" s="12">
        <f t="shared" si="3"/>
        <v>-8</v>
      </c>
      <c r="H13" s="12">
        <f t="shared" si="4"/>
        <v>218.189598999999</v>
      </c>
      <c r="I13" s="12">
        <f t="shared" si="5"/>
        <v>-8</v>
      </c>
      <c r="J13" s="12">
        <f t="shared" si="6"/>
        <v>218.189598999999</v>
      </c>
      <c r="K13" s="12">
        <f t="shared" ref="K9:K41" si="18">I13-AS13</f>
        <v>-11</v>
      </c>
      <c r="L13" s="12">
        <f t="shared" si="7"/>
        <v>-348.280401000002</v>
      </c>
      <c r="M13" s="19">
        <f t="shared" si="8"/>
        <v>-1.70575692963753</v>
      </c>
      <c r="N13" s="19">
        <f t="shared" si="9"/>
        <v>1.81261401827519</v>
      </c>
      <c r="O13" s="12">
        <f t="shared" si="10"/>
        <v>461</v>
      </c>
      <c r="P13" s="12">
        <f t="shared" si="11"/>
        <v>12255.479215</v>
      </c>
      <c r="Q13" s="12">
        <f t="shared" si="12"/>
        <v>-8</v>
      </c>
      <c r="R13" s="12">
        <f t="shared" si="13"/>
        <v>218.189598999999</v>
      </c>
      <c r="S13" s="12">
        <f t="shared" si="14"/>
        <v>-8</v>
      </c>
      <c r="T13" s="12">
        <f t="shared" si="15"/>
        <v>218.189598999999</v>
      </c>
      <c r="U13" s="19">
        <f t="shared" si="16"/>
        <v>-1.70575692963753</v>
      </c>
      <c r="V13" s="19">
        <f t="shared" si="17"/>
        <v>1.81261401827519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461</v>
      </c>
      <c r="AJ13" s="47">
        <v>12300.479215</v>
      </c>
      <c r="AK13" s="47">
        <v>461</v>
      </c>
      <c r="AL13" s="47">
        <v>12300.479215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351</v>
      </c>
      <c r="D14" s="12">
        <v>11034.431048</v>
      </c>
      <c r="E14" s="12">
        <f t="shared" si="1"/>
        <v>-1</v>
      </c>
      <c r="F14" s="12">
        <f t="shared" si="2"/>
        <v>-16.8766859999996</v>
      </c>
      <c r="G14" s="12">
        <f t="shared" si="3"/>
        <v>3</v>
      </c>
      <c r="H14" s="12">
        <f t="shared" si="4"/>
        <v>454.74</v>
      </c>
      <c r="I14" s="12">
        <f t="shared" si="5"/>
        <v>3</v>
      </c>
      <c r="J14" s="12">
        <f t="shared" si="6"/>
        <v>454.74</v>
      </c>
      <c r="K14" s="12">
        <f t="shared" si="18"/>
        <v>-73</v>
      </c>
      <c r="L14" s="12">
        <f t="shared" si="7"/>
        <v>-462.559999999999</v>
      </c>
      <c r="M14" s="19">
        <f t="shared" si="8"/>
        <v>0.862068965517241</v>
      </c>
      <c r="N14" s="19">
        <f t="shared" si="9"/>
        <v>4.29823515579847</v>
      </c>
      <c r="O14" s="12">
        <f t="shared" si="10"/>
        <v>351</v>
      </c>
      <c r="P14" s="12">
        <f t="shared" si="11"/>
        <v>11034.431048</v>
      </c>
      <c r="Q14" s="12">
        <f t="shared" si="12"/>
        <v>3</v>
      </c>
      <c r="R14" s="12">
        <f t="shared" si="13"/>
        <v>454.74</v>
      </c>
      <c r="S14" s="12">
        <f t="shared" si="14"/>
        <v>3</v>
      </c>
      <c r="T14" s="12">
        <f t="shared" si="15"/>
        <v>454.74</v>
      </c>
      <c r="U14" s="19">
        <f t="shared" si="16"/>
        <v>0.862068965517241</v>
      </c>
      <c r="V14" s="19">
        <f t="shared" si="17"/>
        <v>4.29823515579847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352</v>
      </c>
      <c r="AJ14" s="47">
        <v>11051.307734</v>
      </c>
      <c r="AK14" s="47">
        <v>352</v>
      </c>
      <c r="AL14" s="47">
        <v>11051.307734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684</v>
      </c>
      <c r="D15" s="12">
        <v>17875.680427</v>
      </c>
      <c r="E15" s="12">
        <f t="shared" si="1"/>
        <v>6</v>
      </c>
      <c r="F15" s="12">
        <f t="shared" si="2"/>
        <v>109.615053999998</v>
      </c>
      <c r="G15" s="12">
        <f t="shared" si="3"/>
        <v>30</v>
      </c>
      <c r="H15" s="12">
        <f t="shared" si="4"/>
        <v>334.343680999998</v>
      </c>
      <c r="I15" s="12">
        <f t="shared" si="5"/>
        <v>30</v>
      </c>
      <c r="J15" s="12">
        <f t="shared" si="6"/>
        <v>334.343680999998</v>
      </c>
      <c r="K15" s="12">
        <f t="shared" si="18"/>
        <v>-80</v>
      </c>
      <c r="L15" s="12">
        <f t="shared" si="7"/>
        <v>-1125.506319</v>
      </c>
      <c r="M15" s="19">
        <f t="shared" si="8"/>
        <v>4.58715596330275</v>
      </c>
      <c r="N15" s="19">
        <f t="shared" si="9"/>
        <v>1.9060330796981</v>
      </c>
      <c r="O15" s="12">
        <f t="shared" si="10"/>
        <v>684</v>
      </c>
      <c r="P15" s="12">
        <f t="shared" si="11"/>
        <v>17875.680427</v>
      </c>
      <c r="Q15" s="12">
        <f t="shared" si="12"/>
        <v>30</v>
      </c>
      <c r="R15" s="12">
        <f t="shared" si="13"/>
        <v>334.343680999998</v>
      </c>
      <c r="S15" s="12">
        <f t="shared" si="14"/>
        <v>30</v>
      </c>
      <c r="T15" s="12">
        <f t="shared" si="15"/>
        <v>334.343680999998</v>
      </c>
      <c r="U15" s="19">
        <f t="shared" si="16"/>
        <v>4.58715596330275</v>
      </c>
      <c r="V15" s="19">
        <f t="shared" si="17"/>
        <v>1.9060330796981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678</v>
      </c>
      <c r="AJ15" s="47">
        <v>17766.065373</v>
      </c>
      <c r="AK15" s="47">
        <v>678</v>
      </c>
      <c r="AL15" s="47">
        <v>17766.065373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694</v>
      </c>
      <c r="D16" s="12">
        <v>23467.701508</v>
      </c>
      <c r="E16" s="12">
        <f t="shared" si="1"/>
        <v>-2</v>
      </c>
      <c r="F16" s="12">
        <f t="shared" si="2"/>
        <v>187.708699999999</v>
      </c>
      <c r="G16" s="12">
        <f t="shared" si="3"/>
        <v>-9</v>
      </c>
      <c r="H16" s="12">
        <f t="shared" si="4"/>
        <v>566.974544999997</v>
      </c>
      <c r="I16" s="12">
        <f t="shared" si="5"/>
        <v>-9</v>
      </c>
      <c r="J16" s="12">
        <f t="shared" si="6"/>
        <v>566.974544999997</v>
      </c>
      <c r="K16" s="12">
        <f t="shared" si="18"/>
        <v>-72</v>
      </c>
      <c r="L16" s="12">
        <f t="shared" si="7"/>
        <v>-220.985455000002</v>
      </c>
      <c r="M16" s="19">
        <f t="shared" si="8"/>
        <v>-1.28022759601707</v>
      </c>
      <c r="N16" s="19">
        <f t="shared" si="9"/>
        <v>2.47579278123372</v>
      </c>
      <c r="O16" s="12">
        <f t="shared" si="10"/>
        <v>694</v>
      </c>
      <c r="P16" s="12">
        <f t="shared" si="11"/>
        <v>23467.701508</v>
      </c>
      <c r="Q16" s="12">
        <f t="shared" si="12"/>
        <v>-9</v>
      </c>
      <c r="R16" s="12">
        <f t="shared" si="13"/>
        <v>566.974544999997</v>
      </c>
      <c r="S16" s="12">
        <f t="shared" si="14"/>
        <v>-9</v>
      </c>
      <c r="T16" s="12">
        <f t="shared" si="15"/>
        <v>566.974544999997</v>
      </c>
      <c r="U16" s="19">
        <f t="shared" si="16"/>
        <v>-1.28022759601707</v>
      </c>
      <c r="V16" s="19">
        <f t="shared" si="17"/>
        <v>2.47579278123372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696</v>
      </c>
      <c r="AJ16" s="47">
        <v>23279.992808</v>
      </c>
      <c r="AK16" s="47">
        <v>696</v>
      </c>
      <c r="AL16" s="47">
        <v>23279.992808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595</v>
      </c>
      <c r="D17" s="12">
        <v>18646.82312</v>
      </c>
      <c r="E17" s="12">
        <f t="shared" si="1"/>
        <v>2</v>
      </c>
      <c r="F17" s="12">
        <f t="shared" si="2"/>
        <v>285.465835999999</v>
      </c>
      <c r="G17" s="12">
        <f t="shared" si="3"/>
        <v>-4</v>
      </c>
      <c r="H17" s="12">
        <f t="shared" si="4"/>
        <v>216.802243000002</v>
      </c>
      <c r="I17" s="12">
        <f t="shared" si="5"/>
        <v>-4</v>
      </c>
      <c r="J17" s="12">
        <f t="shared" si="6"/>
        <v>216.802243000002</v>
      </c>
      <c r="K17" s="12">
        <f t="shared" si="18"/>
        <v>-12</v>
      </c>
      <c r="L17" s="12">
        <f t="shared" si="7"/>
        <v>-512.907756999997</v>
      </c>
      <c r="M17" s="19">
        <f t="shared" si="8"/>
        <v>-0.667779632721202</v>
      </c>
      <c r="N17" s="19">
        <f t="shared" si="9"/>
        <v>1.17635375698659</v>
      </c>
      <c r="O17" s="12">
        <f t="shared" si="10"/>
        <v>595</v>
      </c>
      <c r="P17" s="12">
        <f t="shared" si="11"/>
        <v>18646.82312</v>
      </c>
      <c r="Q17" s="12">
        <f t="shared" si="12"/>
        <v>-4</v>
      </c>
      <c r="R17" s="12">
        <f t="shared" si="13"/>
        <v>216.802243000002</v>
      </c>
      <c r="S17" s="30">
        <f t="shared" si="14"/>
        <v>-4</v>
      </c>
      <c r="T17" s="12">
        <f t="shared" si="15"/>
        <v>216.802243000002</v>
      </c>
      <c r="U17" s="19">
        <f t="shared" si="16"/>
        <v>-0.667779632721202</v>
      </c>
      <c r="V17" s="19">
        <f t="shared" si="17"/>
        <v>1.17635375698659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593</v>
      </c>
      <c r="AJ17" s="47">
        <v>18361.357284</v>
      </c>
      <c r="AK17" s="47">
        <v>593</v>
      </c>
      <c r="AL17" s="47">
        <v>18361.357284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484</v>
      </c>
      <c r="D18" s="12">
        <v>19330.663061</v>
      </c>
      <c r="E18" s="12">
        <f t="shared" si="1"/>
        <v>2</v>
      </c>
      <c r="F18" s="12">
        <f t="shared" si="2"/>
        <v>334.356459999999</v>
      </c>
      <c r="G18" s="12">
        <f t="shared" si="3"/>
        <v>2</v>
      </c>
      <c r="H18" s="12">
        <f t="shared" si="4"/>
        <v>-226.800339000001</v>
      </c>
      <c r="I18" s="12">
        <f t="shared" si="5"/>
        <v>2</v>
      </c>
      <c r="J18" s="12">
        <f t="shared" si="6"/>
        <v>-226.800339000001</v>
      </c>
      <c r="K18" s="12">
        <f t="shared" si="18"/>
        <v>-9</v>
      </c>
      <c r="L18" s="12">
        <f t="shared" si="7"/>
        <v>-1538.270339</v>
      </c>
      <c r="M18" s="19">
        <f t="shared" si="8"/>
        <v>0.4149377593361</v>
      </c>
      <c r="N18" s="19">
        <f t="shared" si="9"/>
        <v>-1.15966132397313</v>
      </c>
      <c r="O18" s="12">
        <f t="shared" si="10"/>
        <v>484</v>
      </c>
      <c r="P18" s="12">
        <f t="shared" si="11"/>
        <v>19330.663061</v>
      </c>
      <c r="Q18" s="12">
        <f t="shared" si="12"/>
        <v>2</v>
      </c>
      <c r="R18" s="12">
        <f t="shared" si="13"/>
        <v>-226.800339000001</v>
      </c>
      <c r="S18" s="12">
        <f t="shared" si="14"/>
        <v>2</v>
      </c>
      <c r="T18" s="12">
        <f t="shared" si="15"/>
        <v>-226.800339000001</v>
      </c>
      <c r="U18" s="19">
        <f t="shared" si="16"/>
        <v>0.4149377593361</v>
      </c>
      <c r="V18" s="19">
        <f t="shared" si="17"/>
        <v>-1.15966132397313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482</v>
      </c>
      <c r="AJ18" s="47">
        <v>18996.306601</v>
      </c>
      <c r="AK18" s="47">
        <v>482</v>
      </c>
      <c r="AL18" s="47">
        <v>18996.306601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429</v>
      </c>
      <c r="D19" s="12">
        <v>15248.945372</v>
      </c>
      <c r="E19" s="12">
        <f t="shared" si="1"/>
        <v>-2</v>
      </c>
      <c r="F19" s="12">
        <f t="shared" si="2"/>
        <v>-20</v>
      </c>
      <c r="G19" s="12">
        <f t="shared" si="3"/>
        <v>-3</v>
      </c>
      <c r="H19" s="12">
        <f t="shared" si="4"/>
        <v>618.599</v>
      </c>
      <c r="I19" s="12">
        <f t="shared" si="5"/>
        <v>-3</v>
      </c>
      <c r="J19" s="12">
        <f t="shared" si="6"/>
        <v>618.599</v>
      </c>
      <c r="K19" s="12">
        <f t="shared" si="18"/>
        <v>-35</v>
      </c>
      <c r="L19" s="12">
        <f t="shared" si="7"/>
        <v>-184.381</v>
      </c>
      <c r="M19" s="19">
        <f t="shared" si="8"/>
        <v>-0.694444444444444</v>
      </c>
      <c r="N19" s="19">
        <f t="shared" si="9"/>
        <v>4.22819107812713</v>
      </c>
      <c r="O19" s="12">
        <f t="shared" si="10"/>
        <v>429</v>
      </c>
      <c r="P19" s="12">
        <f t="shared" si="11"/>
        <v>15248.945372</v>
      </c>
      <c r="Q19" s="12">
        <f t="shared" si="12"/>
        <v>-3</v>
      </c>
      <c r="R19" s="12">
        <f t="shared" si="13"/>
        <v>618.599</v>
      </c>
      <c r="S19" s="12">
        <f t="shared" si="14"/>
        <v>-3</v>
      </c>
      <c r="T19" s="12">
        <f t="shared" si="15"/>
        <v>618.599</v>
      </c>
      <c r="U19" s="19">
        <f t="shared" si="16"/>
        <v>-0.694444444444444</v>
      </c>
      <c r="V19" s="19">
        <f t="shared" si="17"/>
        <v>4.22819107812713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431</v>
      </c>
      <c r="AJ19" s="47">
        <v>15268.945372</v>
      </c>
      <c r="AK19" s="47">
        <v>431</v>
      </c>
      <c r="AL19" s="47">
        <v>15268.945372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637</v>
      </c>
      <c r="D20" s="12">
        <v>18988.127604</v>
      </c>
      <c r="E20" s="12">
        <f t="shared" si="1"/>
        <v>-6</v>
      </c>
      <c r="F20" s="12">
        <f t="shared" si="2"/>
        <v>-44.0499999999993</v>
      </c>
      <c r="G20" s="12">
        <f t="shared" si="3"/>
        <v>26</v>
      </c>
      <c r="H20" s="12">
        <f t="shared" si="4"/>
        <v>969.41</v>
      </c>
      <c r="I20" s="12">
        <f t="shared" si="5"/>
        <v>26</v>
      </c>
      <c r="J20" s="12">
        <f t="shared" si="6"/>
        <v>969.41</v>
      </c>
      <c r="K20" s="12">
        <f t="shared" si="18"/>
        <v>-55</v>
      </c>
      <c r="L20" s="12">
        <f t="shared" si="7"/>
        <v>-1247.24</v>
      </c>
      <c r="M20" s="19">
        <f t="shared" si="8"/>
        <v>4.25531914893617</v>
      </c>
      <c r="N20" s="19">
        <f t="shared" si="9"/>
        <v>5.38001660997672</v>
      </c>
      <c r="O20" s="12">
        <f t="shared" si="10"/>
        <v>637</v>
      </c>
      <c r="P20" s="12">
        <f t="shared" si="11"/>
        <v>18988.127604</v>
      </c>
      <c r="Q20" s="12">
        <f t="shared" si="12"/>
        <v>26</v>
      </c>
      <c r="R20" s="12">
        <f t="shared" si="13"/>
        <v>969.41</v>
      </c>
      <c r="S20" s="12">
        <f t="shared" si="14"/>
        <v>26</v>
      </c>
      <c r="T20" s="12">
        <f t="shared" si="15"/>
        <v>969.41</v>
      </c>
      <c r="U20" s="19">
        <f t="shared" si="16"/>
        <v>4.25531914893617</v>
      </c>
      <c r="V20" s="19">
        <f t="shared" si="17"/>
        <v>5.38001660997672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643</v>
      </c>
      <c r="AJ20" s="47">
        <v>19032.177604</v>
      </c>
      <c r="AK20" s="47">
        <v>643</v>
      </c>
      <c r="AL20" s="47">
        <v>19032.177604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445</v>
      </c>
      <c r="D21" s="12">
        <v>15736.394663</v>
      </c>
      <c r="E21" s="12">
        <f t="shared" si="1"/>
        <v>2</v>
      </c>
      <c r="F21" s="12">
        <f t="shared" si="2"/>
        <v>181.199999999999</v>
      </c>
      <c r="G21" s="12">
        <f t="shared" si="3"/>
        <v>7</v>
      </c>
      <c r="H21" s="12">
        <f t="shared" si="4"/>
        <v>311.93039</v>
      </c>
      <c r="I21" s="12">
        <f t="shared" si="5"/>
        <v>7</v>
      </c>
      <c r="J21" s="12">
        <f t="shared" si="6"/>
        <v>311.93039</v>
      </c>
      <c r="K21" s="12">
        <f t="shared" si="18"/>
        <v>-50</v>
      </c>
      <c r="L21" s="12">
        <f t="shared" si="7"/>
        <v>-697.96961</v>
      </c>
      <c r="M21" s="19">
        <f t="shared" si="8"/>
        <v>1.59817351598174</v>
      </c>
      <c r="N21" s="19">
        <f t="shared" si="9"/>
        <v>2.0223093942136</v>
      </c>
      <c r="O21" s="12">
        <f t="shared" si="10"/>
        <v>445</v>
      </c>
      <c r="P21" s="12">
        <f t="shared" si="11"/>
        <v>15736.394663</v>
      </c>
      <c r="Q21" s="12">
        <f t="shared" si="12"/>
        <v>7</v>
      </c>
      <c r="R21" s="12">
        <f t="shared" si="13"/>
        <v>311.93039</v>
      </c>
      <c r="S21" s="30">
        <f t="shared" si="14"/>
        <v>7</v>
      </c>
      <c r="T21" s="12">
        <f t="shared" si="15"/>
        <v>311.93039</v>
      </c>
      <c r="U21" s="19">
        <f t="shared" si="16"/>
        <v>1.59817351598174</v>
      </c>
      <c r="V21" s="19">
        <f t="shared" si="17"/>
        <v>2.0223093942136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443</v>
      </c>
      <c r="AJ21" s="47">
        <v>15555.194663</v>
      </c>
      <c r="AK21" s="47">
        <v>443</v>
      </c>
      <c r="AL21" s="47">
        <v>15555.194663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719</v>
      </c>
      <c r="D22" s="12">
        <v>25124.566436</v>
      </c>
      <c r="E22" s="12">
        <f t="shared" si="1"/>
        <v>4</v>
      </c>
      <c r="F22" s="12">
        <f t="shared" si="2"/>
        <v>36.289549000001</v>
      </c>
      <c r="G22" s="12">
        <f t="shared" si="3"/>
        <v>45</v>
      </c>
      <c r="H22" s="12">
        <f t="shared" si="4"/>
        <v>1779.997468</v>
      </c>
      <c r="I22" s="12">
        <f t="shared" si="5"/>
        <v>45</v>
      </c>
      <c r="J22" s="12">
        <f t="shared" si="6"/>
        <v>1779.997468</v>
      </c>
      <c r="K22" s="12">
        <f t="shared" si="18"/>
        <v>-17</v>
      </c>
      <c r="L22" s="12">
        <f t="shared" si="7"/>
        <v>501.077468000001</v>
      </c>
      <c r="M22" s="19">
        <f t="shared" si="8"/>
        <v>6.67655786350148</v>
      </c>
      <c r="N22" s="19">
        <f t="shared" si="9"/>
        <v>7.62488898569927</v>
      </c>
      <c r="O22" s="12">
        <f t="shared" si="10"/>
        <v>719</v>
      </c>
      <c r="P22" s="12">
        <f t="shared" si="11"/>
        <v>25124.566436</v>
      </c>
      <c r="Q22" s="12">
        <f t="shared" si="12"/>
        <v>45</v>
      </c>
      <c r="R22" s="12">
        <f t="shared" si="13"/>
        <v>1779.997468</v>
      </c>
      <c r="S22" s="12">
        <f t="shared" si="14"/>
        <v>45</v>
      </c>
      <c r="T22" s="12">
        <f t="shared" si="15"/>
        <v>1779.997468</v>
      </c>
      <c r="U22" s="19">
        <f t="shared" si="16"/>
        <v>6.67655786350148</v>
      </c>
      <c r="V22" s="19">
        <f t="shared" si="17"/>
        <v>7.62488898569927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715</v>
      </c>
      <c r="AJ22" s="47">
        <v>25088.276887</v>
      </c>
      <c r="AK22" s="47">
        <v>715</v>
      </c>
      <c r="AL22" s="47">
        <v>25088.276887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693</v>
      </c>
      <c r="D23" s="12">
        <v>26193.590347</v>
      </c>
      <c r="E23" s="12">
        <f t="shared" si="1"/>
        <v>1</v>
      </c>
      <c r="F23" s="12">
        <f t="shared" si="2"/>
        <v>468.7716</v>
      </c>
      <c r="G23" s="12">
        <f t="shared" si="3"/>
        <v>-7</v>
      </c>
      <c r="H23" s="12">
        <f t="shared" si="4"/>
        <v>173.401761000001</v>
      </c>
      <c r="I23" s="12">
        <f t="shared" si="5"/>
        <v>-7</v>
      </c>
      <c r="J23" s="12">
        <f t="shared" si="6"/>
        <v>173.401761000001</v>
      </c>
      <c r="K23" s="12">
        <f t="shared" si="18"/>
        <v>-49</v>
      </c>
      <c r="L23" s="12">
        <f t="shared" si="7"/>
        <v>-355.008238999999</v>
      </c>
      <c r="M23" s="19">
        <f t="shared" si="8"/>
        <v>-1</v>
      </c>
      <c r="N23" s="19">
        <f t="shared" si="9"/>
        <v>0.666412391389426</v>
      </c>
      <c r="O23" s="12">
        <f t="shared" si="10"/>
        <v>693</v>
      </c>
      <c r="P23" s="12">
        <f t="shared" si="11"/>
        <v>26193.590347</v>
      </c>
      <c r="Q23" s="12">
        <f t="shared" si="12"/>
        <v>-7</v>
      </c>
      <c r="R23" s="12">
        <f t="shared" si="13"/>
        <v>173.401761000001</v>
      </c>
      <c r="S23" s="12">
        <f t="shared" si="14"/>
        <v>-7</v>
      </c>
      <c r="T23" s="12">
        <f t="shared" si="15"/>
        <v>173.401761000001</v>
      </c>
      <c r="U23" s="19">
        <f t="shared" si="16"/>
        <v>-1</v>
      </c>
      <c r="V23" s="19">
        <f t="shared" si="17"/>
        <v>0.666412391389426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692</v>
      </c>
      <c r="AJ23" s="47">
        <v>25724.818747</v>
      </c>
      <c r="AK23" s="47">
        <v>692</v>
      </c>
      <c r="AL23" s="47">
        <v>25724.818747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15586.79</v>
      </c>
      <c r="E24" s="12">
        <f t="shared" si="1"/>
        <v>-1</v>
      </c>
      <c r="F24" s="12">
        <f t="shared" si="2"/>
        <v>-7.91999999999825</v>
      </c>
      <c r="G24" s="12">
        <f t="shared" si="3"/>
        <v>11</v>
      </c>
      <c r="H24" s="12">
        <f t="shared" si="4"/>
        <v>998.390000000001</v>
      </c>
      <c r="I24" s="12">
        <f t="shared" si="5"/>
        <v>11</v>
      </c>
      <c r="J24" s="12">
        <f t="shared" si="6"/>
        <v>998.390000000001</v>
      </c>
      <c r="K24" s="12">
        <f t="shared" si="18"/>
        <v>-40</v>
      </c>
      <c r="L24" s="12">
        <f t="shared" si="7"/>
        <v>180.400000000001</v>
      </c>
      <c r="M24" s="19">
        <f t="shared" si="8"/>
        <v>2.33545647558386</v>
      </c>
      <c r="N24" s="19">
        <f t="shared" si="9"/>
        <v>6.84372515149023</v>
      </c>
      <c r="O24" s="12">
        <f t="shared" si="10"/>
        <v>482</v>
      </c>
      <c r="P24" s="12">
        <f t="shared" si="11"/>
        <v>15586.79</v>
      </c>
      <c r="Q24" s="12">
        <f t="shared" si="12"/>
        <v>11</v>
      </c>
      <c r="R24" s="12">
        <f t="shared" si="13"/>
        <v>998.390000000001</v>
      </c>
      <c r="S24" s="30">
        <f t="shared" si="14"/>
        <v>11</v>
      </c>
      <c r="T24" s="12">
        <f t="shared" si="15"/>
        <v>998.390000000001</v>
      </c>
      <c r="U24" s="19">
        <f t="shared" si="16"/>
        <v>2.33545647558386</v>
      </c>
      <c r="V24" s="19">
        <f t="shared" si="17"/>
        <v>6.84372515149023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483</v>
      </c>
      <c r="AJ24" s="47">
        <v>15594.71</v>
      </c>
      <c r="AK24" s="47">
        <v>483</v>
      </c>
      <c r="AL24" s="47">
        <v>15594.71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487</v>
      </c>
      <c r="D25" s="12">
        <v>15572.938138</v>
      </c>
      <c r="E25" s="12">
        <f t="shared" si="1"/>
        <v>2</v>
      </c>
      <c r="F25" s="12">
        <f t="shared" si="2"/>
        <v>42.1514769999994</v>
      </c>
      <c r="G25" s="12">
        <f t="shared" si="3"/>
        <v>5</v>
      </c>
      <c r="H25" s="12">
        <f t="shared" si="4"/>
        <v>-553.938878000001</v>
      </c>
      <c r="I25" s="12">
        <f t="shared" si="5"/>
        <v>5</v>
      </c>
      <c r="J25" s="12">
        <f t="shared" si="6"/>
        <v>-553.938878000001</v>
      </c>
      <c r="K25" s="12">
        <f t="shared" si="18"/>
        <v>-20</v>
      </c>
      <c r="L25" s="12">
        <f t="shared" si="7"/>
        <v>-1435.118878</v>
      </c>
      <c r="M25" s="19">
        <f t="shared" si="8"/>
        <v>1.03734439834025</v>
      </c>
      <c r="N25" s="19">
        <f t="shared" si="9"/>
        <v>-3.43488002947142</v>
      </c>
      <c r="O25" s="12">
        <f t="shared" si="10"/>
        <v>487</v>
      </c>
      <c r="P25" s="12">
        <f t="shared" si="11"/>
        <v>15572.938138</v>
      </c>
      <c r="Q25" s="12">
        <f t="shared" si="12"/>
        <v>5</v>
      </c>
      <c r="R25" s="12">
        <f t="shared" si="13"/>
        <v>-553.938878000001</v>
      </c>
      <c r="S25" s="12">
        <f t="shared" si="14"/>
        <v>5</v>
      </c>
      <c r="T25" s="12">
        <f t="shared" si="15"/>
        <v>-553.938878000001</v>
      </c>
      <c r="U25" s="19">
        <f t="shared" si="16"/>
        <v>1.03734439834025</v>
      </c>
      <c r="V25" s="19">
        <f t="shared" si="17"/>
        <v>-3.43488002947142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485</v>
      </c>
      <c r="AJ25" s="47">
        <v>15530.786661</v>
      </c>
      <c r="AK25" s="47">
        <v>485</v>
      </c>
      <c r="AL25" s="47">
        <v>15530.786661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10307.032492</v>
      </c>
      <c r="E26" s="12">
        <f t="shared" si="1"/>
        <v>-1</v>
      </c>
      <c r="F26" s="12">
        <f t="shared" si="2"/>
        <v>-91.9930629999999</v>
      </c>
      <c r="G26" s="12">
        <f t="shared" si="3"/>
        <v>-9</v>
      </c>
      <c r="H26" s="12">
        <f t="shared" si="4"/>
        <v>-515.393063</v>
      </c>
      <c r="I26" s="12">
        <f t="shared" si="5"/>
        <v>-9</v>
      </c>
      <c r="J26" s="12">
        <f t="shared" si="6"/>
        <v>-515.393063</v>
      </c>
      <c r="K26" s="12">
        <f t="shared" si="18"/>
        <v>-29</v>
      </c>
      <c r="L26" s="12">
        <f t="shared" si="7"/>
        <v>-1219.403063</v>
      </c>
      <c r="M26" s="19">
        <f t="shared" si="8"/>
        <v>-3.24909747292419</v>
      </c>
      <c r="N26" s="19">
        <f t="shared" si="9"/>
        <v>-4.76226942269782</v>
      </c>
      <c r="O26" s="12">
        <f t="shared" si="10"/>
        <v>268</v>
      </c>
      <c r="P26" s="12">
        <f t="shared" si="11"/>
        <v>10307.032492</v>
      </c>
      <c r="Q26" s="12">
        <f t="shared" si="12"/>
        <v>-9</v>
      </c>
      <c r="R26" s="12">
        <f t="shared" si="13"/>
        <v>-515.393063</v>
      </c>
      <c r="S26" s="12">
        <f t="shared" si="14"/>
        <v>-9</v>
      </c>
      <c r="T26" s="12">
        <f t="shared" si="15"/>
        <v>-515.393063</v>
      </c>
      <c r="U26" s="19">
        <f t="shared" si="16"/>
        <v>-3.24909747292419</v>
      </c>
      <c r="V26" s="19">
        <f t="shared" si="17"/>
        <v>-4.76226942269782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269</v>
      </c>
      <c r="AJ26" s="47">
        <v>10399.025555</v>
      </c>
      <c r="AK26" s="47">
        <v>269</v>
      </c>
      <c r="AL26" s="47">
        <v>10399.025555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342</v>
      </c>
      <c r="D27" s="12">
        <v>11423.335802</v>
      </c>
      <c r="E27" s="12">
        <f t="shared" si="1"/>
        <v>4</v>
      </c>
      <c r="F27" s="12">
        <f t="shared" si="2"/>
        <v>369.699999999999</v>
      </c>
      <c r="G27" s="12">
        <f t="shared" si="3"/>
        <v>14</v>
      </c>
      <c r="H27" s="12">
        <f t="shared" si="4"/>
        <v>4.87084200000027</v>
      </c>
      <c r="I27" s="12">
        <f t="shared" si="5"/>
        <v>14</v>
      </c>
      <c r="J27" s="12">
        <f t="shared" si="6"/>
        <v>4.87084200000027</v>
      </c>
      <c r="K27" s="12">
        <f t="shared" si="18"/>
        <v>-18</v>
      </c>
      <c r="L27" s="12">
        <f t="shared" si="7"/>
        <v>-619.399158</v>
      </c>
      <c r="M27" s="19">
        <f t="shared" si="8"/>
        <v>4.26829268292683</v>
      </c>
      <c r="N27" s="19">
        <f t="shared" si="9"/>
        <v>0.0426575902896169</v>
      </c>
      <c r="O27" s="12">
        <f t="shared" si="10"/>
        <v>342</v>
      </c>
      <c r="P27" s="12">
        <f t="shared" si="11"/>
        <v>11423.335802</v>
      </c>
      <c r="Q27" s="12">
        <f t="shared" si="12"/>
        <v>14</v>
      </c>
      <c r="R27" s="12">
        <f t="shared" si="13"/>
        <v>4.87084200000027</v>
      </c>
      <c r="S27" s="12">
        <f t="shared" si="14"/>
        <v>14</v>
      </c>
      <c r="T27" s="12">
        <f t="shared" si="15"/>
        <v>4.87084200000027</v>
      </c>
      <c r="U27" s="19">
        <f t="shared" si="16"/>
        <v>4.26829268292683</v>
      </c>
      <c r="V27" s="19">
        <f t="shared" si="17"/>
        <v>0.0426575902896169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338</v>
      </c>
      <c r="AJ27" s="47">
        <v>11053.635802</v>
      </c>
      <c r="AK27" s="47">
        <v>338</v>
      </c>
      <c r="AL27" s="47">
        <v>11053.635802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381</v>
      </c>
      <c r="D28" s="12">
        <v>20259.635917</v>
      </c>
      <c r="E28" s="12">
        <f t="shared" si="1"/>
        <v>-2</v>
      </c>
      <c r="F28" s="12">
        <f t="shared" si="2"/>
        <v>139.959999999999</v>
      </c>
      <c r="G28" s="12">
        <f t="shared" si="3"/>
        <v>19</v>
      </c>
      <c r="H28" s="12">
        <f t="shared" si="4"/>
        <v>207.824876999999</v>
      </c>
      <c r="I28" s="12">
        <f t="shared" si="5"/>
        <v>19</v>
      </c>
      <c r="J28" s="12">
        <f t="shared" si="6"/>
        <v>207.824876999999</v>
      </c>
      <c r="K28" s="12">
        <f t="shared" si="18"/>
        <v>-21</v>
      </c>
      <c r="L28" s="12">
        <f t="shared" si="7"/>
        <v>-672.905123000001</v>
      </c>
      <c r="M28" s="19">
        <f t="shared" si="8"/>
        <v>5.24861878453039</v>
      </c>
      <c r="N28" s="19">
        <f t="shared" si="9"/>
        <v>1.03643943474943</v>
      </c>
      <c r="O28" s="12">
        <f t="shared" si="10"/>
        <v>381</v>
      </c>
      <c r="P28" s="12">
        <f t="shared" si="11"/>
        <v>20259.635917</v>
      </c>
      <c r="Q28" s="12">
        <f t="shared" si="12"/>
        <v>19</v>
      </c>
      <c r="R28" s="12">
        <f t="shared" si="13"/>
        <v>207.824876999999</v>
      </c>
      <c r="S28" s="12">
        <f t="shared" si="14"/>
        <v>19</v>
      </c>
      <c r="T28" s="12">
        <f t="shared" si="15"/>
        <v>207.824876999999</v>
      </c>
      <c r="U28" s="19">
        <f t="shared" si="16"/>
        <v>5.24861878453039</v>
      </c>
      <c r="V28" s="19">
        <f t="shared" si="17"/>
        <v>1.03643943474943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383</v>
      </c>
      <c r="AJ28" s="47">
        <v>20119.675917</v>
      </c>
      <c r="AK28" s="47">
        <v>383</v>
      </c>
      <c r="AL28" s="47">
        <v>20119.675917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333</v>
      </c>
      <c r="D29" s="12">
        <v>11839.578567</v>
      </c>
      <c r="E29" s="12">
        <f t="shared" si="1"/>
        <v>4</v>
      </c>
      <c r="F29" s="12">
        <f t="shared" si="2"/>
        <v>454.030000000001</v>
      </c>
      <c r="G29" s="12">
        <f t="shared" si="3"/>
        <v>5</v>
      </c>
      <c r="H29" s="12">
        <f t="shared" si="4"/>
        <v>-155.084041</v>
      </c>
      <c r="I29" s="12">
        <f t="shared" si="5"/>
        <v>5</v>
      </c>
      <c r="J29" s="12">
        <f t="shared" si="6"/>
        <v>-155.084041</v>
      </c>
      <c r="K29" s="12">
        <f t="shared" si="18"/>
        <v>-30</v>
      </c>
      <c r="L29" s="12">
        <f t="shared" si="7"/>
        <v>-702.794041000001</v>
      </c>
      <c r="M29" s="19">
        <f t="shared" si="8"/>
        <v>1.52439024390244</v>
      </c>
      <c r="N29" s="19">
        <f t="shared" si="9"/>
        <v>-1.29294208656244</v>
      </c>
      <c r="O29" s="12">
        <f t="shared" si="10"/>
        <v>334</v>
      </c>
      <c r="P29" s="12">
        <f t="shared" si="11"/>
        <v>12339.578567</v>
      </c>
      <c r="Q29" s="12">
        <f t="shared" si="12"/>
        <v>6</v>
      </c>
      <c r="R29" s="12">
        <f t="shared" si="13"/>
        <v>344.915959</v>
      </c>
      <c r="S29" s="12">
        <f t="shared" si="14"/>
        <v>6</v>
      </c>
      <c r="T29" s="12">
        <f t="shared" si="15"/>
        <v>344.915959</v>
      </c>
      <c r="U29" s="19">
        <f t="shared" si="16"/>
        <v>1.82926829268293</v>
      </c>
      <c r="V29" s="19">
        <f t="shared" si="17"/>
        <v>2.87557866588055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329</v>
      </c>
      <c r="AJ29" s="47">
        <v>11385.548567</v>
      </c>
      <c r="AK29" s="47">
        <v>330</v>
      </c>
      <c r="AL29" s="47">
        <v>11885.548567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359</v>
      </c>
      <c r="D30" s="12">
        <v>9595.648741</v>
      </c>
      <c r="E30" s="12">
        <f t="shared" si="1"/>
        <v>2</v>
      </c>
      <c r="F30" s="12">
        <f t="shared" si="2"/>
        <v>10.0199999999913</v>
      </c>
      <c r="G30" s="12">
        <f t="shared" si="3"/>
        <v>36</v>
      </c>
      <c r="H30" s="12">
        <f t="shared" si="4"/>
        <v>476.410591000002</v>
      </c>
      <c r="I30" s="12">
        <f t="shared" si="5"/>
        <v>36</v>
      </c>
      <c r="J30" s="12">
        <f t="shared" si="6"/>
        <v>476.410591000002</v>
      </c>
      <c r="K30" s="12">
        <f t="shared" si="18"/>
        <v>-59</v>
      </c>
      <c r="L30" s="12">
        <f t="shared" si="7"/>
        <v>-543.729408999998</v>
      </c>
      <c r="M30" s="19">
        <f t="shared" si="8"/>
        <v>11.1455108359133</v>
      </c>
      <c r="N30" s="19">
        <f t="shared" si="9"/>
        <v>5.22423675271603</v>
      </c>
      <c r="O30" s="12">
        <f t="shared" si="10"/>
        <v>359</v>
      </c>
      <c r="P30" s="12">
        <f t="shared" si="11"/>
        <v>9595.648741</v>
      </c>
      <c r="Q30" s="12">
        <f t="shared" si="12"/>
        <v>36</v>
      </c>
      <c r="R30" s="12">
        <f t="shared" si="13"/>
        <v>476.410591000002</v>
      </c>
      <c r="S30" s="12">
        <f t="shared" si="14"/>
        <v>36</v>
      </c>
      <c r="T30" s="12">
        <f t="shared" si="15"/>
        <v>476.410591000002</v>
      </c>
      <c r="U30" s="19">
        <f t="shared" si="16"/>
        <v>11.1455108359133</v>
      </c>
      <c r="V30" s="19">
        <f t="shared" si="17"/>
        <v>5.22423675271603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357</v>
      </c>
      <c r="AJ30" s="47">
        <v>9585.62874100001</v>
      </c>
      <c r="AK30" s="47">
        <v>357</v>
      </c>
      <c r="AL30" s="47">
        <v>9585.62874100001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381</v>
      </c>
      <c r="D31" s="12">
        <v>11263.378131</v>
      </c>
      <c r="E31" s="12">
        <f t="shared" si="1"/>
        <v>7</v>
      </c>
      <c r="F31" s="12">
        <f t="shared" si="2"/>
        <v>672.226074999999</v>
      </c>
      <c r="G31" s="12">
        <f t="shared" si="3"/>
        <v>16</v>
      </c>
      <c r="H31" s="12">
        <f t="shared" si="4"/>
        <v>181.868396</v>
      </c>
      <c r="I31" s="12">
        <f t="shared" si="5"/>
        <v>16</v>
      </c>
      <c r="J31" s="12">
        <f t="shared" si="6"/>
        <v>181.868396</v>
      </c>
      <c r="K31" s="12">
        <f t="shared" si="18"/>
        <v>-32</v>
      </c>
      <c r="L31" s="12">
        <f t="shared" si="7"/>
        <v>-328.101604000001</v>
      </c>
      <c r="M31" s="19">
        <f t="shared" si="8"/>
        <v>4.38356164383562</v>
      </c>
      <c r="N31" s="19">
        <f t="shared" si="9"/>
        <v>1.64118789180489</v>
      </c>
      <c r="O31" s="12">
        <f t="shared" si="10"/>
        <v>381</v>
      </c>
      <c r="P31" s="12">
        <f t="shared" si="11"/>
        <v>11263.378131</v>
      </c>
      <c r="Q31" s="12">
        <f t="shared" si="12"/>
        <v>16</v>
      </c>
      <c r="R31" s="12">
        <f t="shared" si="13"/>
        <v>181.868396</v>
      </c>
      <c r="S31" s="12">
        <f t="shared" si="14"/>
        <v>16</v>
      </c>
      <c r="T31" s="12">
        <f t="shared" si="15"/>
        <v>181.868396</v>
      </c>
      <c r="U31" s="19">
        <f t="shared" si="16"/>
        <v>4.38356164383562</v>
      </c>
      <c r="V31" s="19">
        <f t="shared" si="17"/>
        <v>1.64118789180489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374</v>
      </c>
      <c r="AJ31" s="47">
        <v>10591.152056</v>
      </c>
      <c r="AK31" s="47">
        <v>374</v>
      </c>
      <c r="AL31" s="47">
        <v>10591.152056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514</v>
      </c>
      <c r="D32" s="12">
        <v>12906.569772</v>
      </c>
      <c r="E32" s="12">
        <f t="shared" si="1"/>
        <v>1</v>
      </c>
      <c r="F32" s="12">
        <f t="shared" si="2"/>
        <v>55.416905</v>
      </c>
      <c r="G32" s="12">
        <f t="shared" si="3"/>
        <v>14</v>
      </c>
      <c r="H32" s="12">
        <f t="shared" si="4"/>
        <v>455.904270000001</v>
      </c>
      <c r="I32" s="12">
        <f t="shared" si="5"/>
        <v>14</v>
      </c>
      <c r="J32" s="12">
        <f t="shared" si="6"/>
        <v>455.904270000001</v>
      </c>
      <c r="K32" s="12">
        <f t="shared" si="18"/>
        <v>-46</v>
      </c>
      <c r="L32" s="12">
        <f t="shared" si="7"/>
        <v>104.014270000002</v>
      </c>
      <c r="M32" s="19">
        <f t="shared" si="8"/>
        <v>2.8</v>
      </c>
      <c r="N32" s="19">
        <f t="shared" si="9"/>
        <v>3.66168595507419</v>
      </c>
      <c r="O32" s="12">
        <f t="shared" si="10"/>
        <v>514</v>
      </c>
      <c r="P32" s="12">
        <f t="shared" si="11"/>
        <v>12906.569772</v>
      </c>
      <c r="Q32" s="12">
        <f t="shared" si="12"/>
        <v>14</v>
      </c>
      <c r="R32" s="12">
        <f t="shared" si="13"/>
        <v>455.904270000001</v>
      </c>
      <c r="S32" s="30">
        <f t="shared" si="14"/>
        <v>14</v>
      </c>
      <c r="T32" s="12">
        <f t="shared" si="15"/>
        <v>455.904270000001</v>
      </c>
      <c r="U32" s="19">
        <f t="shared" si="16"/>
        <v>2.8</v>
      </c>
      <c r="V32" s="19">
        <f t="shared" si="17"/>
        <v>3.66168595507419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513</v>
      </c>
      <c r="AJ32" s="47">
        <v>12851.152867</v>
      </c>
      <c r="AK32" s="47">
        <v>513</v>
      </c>
      <c r="AL32" s="47">
        <v>12851.152867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2129</v>
      </c>
      <c r="D33" s="12">
        <v>96040.891273</v>
      </c>
      <c r="E33" s="12">
        <f t="shared" si="1"/>
        <v>2</v>
      </c>
      <c r="F33" s="12">
        <f t="shared" si="2"/>
        <v>143.890436999995</v>
      </c>
      <c r="G33" s="12">
        <f t="shared" si="3"/>
        <v>-11</v>
      </c>
      <c r="H33" s="12">
        <f t="shared" si="4"/>
        <v>-2685.9385709999</v>
      </c>
      <c r="I33" s="12">
        <f t="shared" si="5"/>
        <v>-11</v>
      </c>
      <c r="J33" s="12">
        <f t="shared" si="6"/>
        <v>-2685.9385709999</v>
      </c>
      <c r="K33" s="12">
        <f t="shared" si="18"/>
        <v>-42</v>
      </c>
      <c r="L33" s="12">
        <f t="shared" si="7"/>
        <v>-1345.0185709999</v>
      </c>
      <c r="M33" s="19">
        <f t="shared" si="8"/>
        <v>-0.514018691588785</v>
      </c>
      <c r="N33" s="19">
        <f t="shared" si="9"/>
        <v>-2.72057613441453</v>
      </c>
      <c r="O33" s="12">
        <f t="shared" si="10"/>
        <v>2129</v>
      </c>
      <c r="P33" s="12">
        <f t="shared" si="11"/>
        <v>96040.891273</v>
      </c>
      <c r="Q33" s="12">
        <f t="shared" si="12"/>
        <v>-11</v>
      </c>
      <c r="R33" s="12">
        <f t="shared" si="13"/>
        <v>-2685.9385709999</v>
      </c>
      <c r="S33" s="30">
        <f t="shared" si="14"/>
        <v>-11</v>
      </c>
      <c r="T33" s="12">
        <f t="shared" si="15"/>
        <v>-2685.9385709999</v>
      </c>
      <c r="U33" s="19">
        <f t="shared" si="16"/>
        <v>-0.514018691588785</v>
      </c>
      <c r="V33" s="19">
        <f t="shared" si="17"/>
        <v>-2.72057613441453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2127</v>
      </c>
      <c r="AJ33" s="47">
        <v>95897.000836</v>
      </c>
      <c r="AK33" s="47">
        <v>2127</v>
      </c>
      <c r="AL33" s="47">
        <v>95897.000836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619</v>
      </c>
      <c r="D34" s="12">
        <v>28048.209662</v>
      </c>
      <c r="E34" s="12">
        <f t="shared" si="1"/>
        <v>2</v>
      </c>
      <c r="F34" s="12">
        <f t="shared" si="2"/>
        <v>66.0344100000002</v>
      </c>
      <c r="G34" s="12">
        <f t="shared" si="3"/>
        <v>10</v>
      </c>
      <c r="H34" s="12">
        <f t="shared" si="4"/>
        <v>767.505852000002</v>
      </c>
      <c r="I34" s="12">
        <f t="shared" si="5"/>
        <v>10</v>
      </c>
      <c r="J34" s="12">
        <f t="shared" si="6"/>
        <v>767.505852000002</v>
      </c>
      <c r="K34" s="12">
        <f t="shared" si="18"/>
        <v>-22</v>
      </c>
      <c r="L34" s="12">
        <f t="shared" si="7"/>
        <v>-488.014147999998</v>
      </c>
      <c r="M34" s="19">
        <f t="shared" si="8"/>
        <v>1.64203612479475</v>
      </c>
      <c r="N34" s="19">
        <f t="shared" si="9"/>
        <v>2.81336529051961</v>
      </c>
      <c r="O34" s="12">
        <f t="shared" si="10"/>
        <v>619</v>
      </c>
      <c r="P34" s="12">
        <f t="shared" si="11"/>
        <v>28048.209662</v>
      </c>
      <c r="Q34" s="12">
        <f t="shared" si="12"/>
        <v>10</v>
      </c>
      <c r="R34" s="12">
        <f t="shared" si="13"/>
        <v>767.505852000002</v>
      </c>
      <c r="S34" s="12">
        <f t="shared" si="14"/>
        <v>10</v>
      </c>
      <c r="T34" s="12">
        <f t="shared" si="15"/>
        <v>767.505852000002</v>
      </c>
      <c r="U34" s="19">
        <f t="shared" si="16"/>
        <v>1.64203612479475</v>
      </c>
      <c r="V34" s="19">
        <f t="shared" si="17"/>
        <v>2.81336529051961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617</v>
      </c>
      <c r="AJ34" s="47">
        <v>27982.175252</v>
      </c>
      <c r="AK34" s="47">
        <v>617</v>
      </c>
      <c r="AL34" s="47">
        <v>27982.175252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2509</v>
      </c>
      <c r="D35" s="12">
        <v>98203</v>
      </c>
      <c r="E35" s="12">
        <f t="shared" si="1"/>
        <v>8</v>
      </c>
      <c r="F35" s="12">
        <f t="shared" si="2"/>
        <v>992</v>
      </c>
      <c r="G35" s="12">
        <f t="shared" si="3"/>
        <v>-12</v>
      </c>
      <c r="H35" s="12">
        <f t="shared" si="4"/>
        <v>799</v>
      </c>
      <c r="I35" s="12">
        <f t="shared" si="5"/>
        <v>-12</v>
      </c>
      <c r="J35" s="12">
        <f t="shared" si="6"/>
        <v>799</v>
      </c>
      <c r="K35" s="12">
        <f t="shared" si="18"/>
        <v>-135</v>
      </c>
      <c r="L35" s="12">
        <f t="shared" si="7"/>
        <v>-4515</v>
      </c>
      <c r="M35" s="19">
        <f t="shared" si="8"/>
        <v>-0.476001586671956</v>
      </c>
      <c r="N35" s="19">
        <f t="shared" si="9"/>
        <v>0.820294854420763</v>
      </c>
      <c r="O35" s="12">
        <f t="shared" si="10"/>
        <v>2509</v>
      </c>
      <c r="P35" s="12">
        <f t="shared" si="11"/>
        <v>98203</v>
      </c>
      <c r="Q35" s="12">
        <f t="shared" si="12"/>
        <v>-12</v>
      </c>
      <c r="R35" s="12">
        <f t="shared" si="13"/>
        <v>799</v>
      </c>
      <c r="S35" s="12">
        <f t="shared" si="14"/>
        <v>-12</v>
      </c>
      <c r="T35" s="12">
        <f t="shared" si="15"/>
        <v>799</v>
      </c>
      <c r="U35" s="19">
        <f t="shared" si="16"/>
        <v>-0.476001586671956</v>
      </c>
      <c r="V35" s="19">
        <f t="shared" si="17"/>
        <v>0.820294854420763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2501</v>
      </c>
      <c r="AJ35" s="47">
        <v>97211</v>
      </c>
      <c r="AK35" s="47">
        <v>2501</v>
      </c>
      <c r="AL35" s="47">
        <v>97211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2540</v>
      </c>
      <c r="D36" s="12">
        <v>84271</v>
      </c>
      <c r="E36" s="12">
        <f t="shared" si="1"/>
        <v>-1</v>
      </c>
      <c r="F36" s="12">
        <f t="shared" si="2"/>
        <v>-124</v>
      </c>
      <c r="G36" s="12">
        <f t="shared" si="3"/>
        <v>-3</v>
      </c>
      <c r="H36" s="12">
        <f t="shared" si="4"/>
        <v>-294</v>
      </c>
      <c r="I36" s="12">
        <f t="shared" si="5"/>
        <v>-3</v>
      </c>
      <c r="J36" s="12">
        <f t="shared" si="6"/>
        <v>-294</v>
      </c>
      <c r="K36" s="12">
        <f t="shared" si="18"/>
        <v>-6</v>
      </c>
      <c r="L36" s="12">
        <f t="shared" si="7"/>
        <v>-300</v>
      </c>
      <c r="M36" s="19">
        <f t="shared" si="8"/>
        <v>-0.117970900511207</v>
      </c>
      <c r="N36" s="19">
        <f t="shared" si="9"/>
        <v>-0.347661562111985</v>
      </c>
      <c r="O36" s="12">
        <f t="shared" si="10"/>
        <v>2540</v>
      </c>
      <c r="P36" s="12">
        <f t="shared" si="11"/>
        <v>84271</v>
      </c>
      <c r="Q36" s="12">
        <f t="shared" si="12"/>
        <v>-3</v>
      </c>
      <c r="R36" s="12">
        <f t="shared" si="13"/>
        <v>-294</v>
      </c>
      <c r="S36" s="12">
        <f t="shared" si="14"/>
        <v>-3</v>
      </c>
      <c r="T36" s="12">
        <f t="shared" si="15"/>
        <v>-294</v>
      </c>
      <c r="U36" s="19">
        <f t="shared" si="16"/>
        <v>-0.117970900511207</v>
      </c>
      <c r="V36" s="19">
        <f t="shared" si="17"/>
        <v>-0.347661562111985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2541</v>
      </c>
      <c r="AJ36" s="47">
        <v>84395</v>
      </c>
      <c r="AK36" s="47">
        <v>2541</v>
      </c>
      <c r="AL36" s="47">
        <v>84395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309</v>
      </c>
      <c r="D37" s="12">
        <v>14001.128856</v>
      </c>
      <c r="E37" s="12">
        <f t="shared" si="1"/>
        <v>2</v>
      </c>
      <c r="F37" s="12">
        <f t="shared" si="2"/>
        <v>423.929999999998</v>
      </c>
      <c r="G37" s="12">
        <f t="shared" si="3"/>
        <v>16</v>
      </c>
      <c r="H37" s="12">
        <f t="shared" si="4"/>
        <v>347.949999999999</v>
      </c>
      <c r="I37" s="12">
        <f t="shared" si="5"/>
        <v>16</v>
      </c>
      <c r="J37" s="12">
        <f t="shared" si="6"/>
        <v>347.949999999999</v>
      </c>
      <c r="K37" s="12">
        <f t="shared" si="18"/>
        <v>-28</v>
      </c>
      <c r="L37" s="12">
        <f t="shared" si="7"/>
        <v>-657.660000000001</v>
      </c>
      <c r="M37" s="19">
        <f t="shared" si="8"/>
        <v>5.46075085324232</v>
      </c>
      <c r="N37" s="19">
        <f t="shared" si="9"/>
        <v>2.54849074834385</v>
      </c>
      <c r="O37" s="12">
        <f t="shared" si="10"/>
        <v>309</v>
      </c>
      <c r="P37" s="12">
        <f t="shared" si="11"/>
        <v>14001.128856</v>
      </c>
      <c r="Q37" s="12">
        <f t="shared" si="12"/>
        <v>16</v>
      </c>
      <c r="R37" s="12">
        <f t="shared" si="13"/>
        <v>347.949999999999</v>
      </c>
      <c r="S37" s="12">
        <f t="shared" si="14"/>
        <v>16</v>
      </c>
      <c r="T37" s="12">
        <f t="shared" si="15"/>
        <v>347.949999999999</v>
      </c>
      <c r="U37" s="19">
        <f t="shared" si="16"/>
        <v>5.46075085324232</v>
      </c>
      <c r="V37" s="19">
        <f t="shared" si="17"/>
        <v>2.54849074834385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13577.198856</v>
      </c>
      <c r="AK37" s="47">
        <v>307</v>
      </c>
      <c r="AL37" s="47">
        <v>13577.198856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442</v>
      </c>
      <c r="D38" s="12">
        <v>19974.359486</v>
      </c>
      <c r="E38" s="12">
        <f t="shared" si="1"/>
        <v>-2</v>
      </c>
      <c r="F38" s="12">
        <f t="shared" si="2"/>
        <v>45.9000000000015</v>
      </c>
      <c r="G38" s="12">
        <f t="shared" si="3"/>
        <v>-2</v>
      </c>
      <c r="H38" s="12">
        <f t="shared" si="4"/>
        <v>245.634384000001</v>
      </c>
      <c r="I38" s="12">
        <f t="shared" si="5"/>
        <v>-2</v>
      </c>
      <c r="J38" s="12">
        <f t="shared" si="6"/>
        <v>245.634384000001</v>
      </c>
      <c r="K38" s="12">
        <f t="shared" si="18"/>
        <v>-42</v>
      </c>
      <c r="L38" s="12">
        <f t="shared" si="7"/>
        <v>-773.365615999999</v>
      </c>
      <c r="M38" s="19">
        <f t="shared" si="8"/>
        <v>-0.45045045045045</v>
      </c>
      <c r="N38" s="19">
        <f t="shared" si="9"/>
        <v>1.24505959067319</v>
      </c>
      <c r="O38" s="12">
        <f t="shared" si="10"/>
        <v>442</v>
      </c>
      <c r="P38" s="12">
        <f t="shared" si="11"/>
        <v>19974.359486</v>
      </c>
      <c r="Q38" s="12">
        <f t="shared" si="12"/>
        <v>-2</v>
      </c>
      <c r="R38" s="12">
        <f t="shared" si="13"/>
        <v>245.634384000001</v>
      </c>
      <c r="S38" s="12">
        <f t="shared" si="14"/>
        <v>-2</v>
      </c>
      <c r="T38" s="12">
        <f t="shared" si="15"/>
        <v>245.634384000001</v>
      </c>
      <c r="U38" s="19">
        <f t="shared" si="16"/>
        <v>-0.45045045045045</v>
      </c>
      <c r="V38" s="19">
        <f t="shared" si="17"/>
        <v>1.24505959067319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444</v>
      </c>
      <c r="AJ38" s="47">
        <v>19928.459486</v>
      </c>
      <c r="AK38" s="47">
        <v>444</v>
      </c>
      <c r="AL38" s="47">
        <v>19928.459486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422</v>
      </c>
      <c r="D39" s="12">
        <v>18252.290726</v>
      </c>
      <c r="E39" s="12">
        <f t="shared" si="1"/>
        <v>1</v>
      </c>
      <c r="F39" s="12">
        <f t="shared" si="2"/>
        <v>63.0099999999984</v>
      </c>
      <c r="G39" s="12">
        <f t="shared" si="3"/>
        <v>18</v>
      </c>
      <c r="H39" s="12">
        <f t="shared" si="4"/>
        <v>693.852242999998</v>
      </c>
      <c r="I39" s="12">
        <f t="shared" si="5"/>
        <v>18</v>
      </c>
      <c r="J39" s="12">
        <f t="shared" si="6"/>
        <v>693.852242999998</v>
      </c>
      <c r="K39" s="12">
        <f t="shared" si="18"/>
        <v>0</v>
      </c>
      <c r="L39" s="12">
        <f t="shared" si="7"/>
        <v>-307.327757000002</v>
      </c>
      <c r="M39" s="19">
        <f t="shared" si="8"/>
        <v>4.45544554455445</v>
      </c>
      <c r="N39" s="19">
        <f t="shared" si="9"/>
        <v>3.95167396959463</v>
      </c>
      <c r="O39" s="12">
        <f t="shared" si="10"/>
        <v>422</v>
      </c>
      <c r="P39" s="12">
        <f t="shared" si="11"/>
        <v>18252.290726</v>
      </c>
      <c r="Q39" s="12">
        <f t="shared" si="12"/>
        <v>18</v>
      </c>
      <c r="R39" s="12">
        <f t="shared" si="13"/>
        <v>693.852242999998</v>
      </c>
      <c r="S39" s="12">
        <f t="shared" si="14"/>
        <v>18</v>
      </c>
      <c r="T39" s="12">
        <f t="shared" si="15"/>
        <v>693.852242999998</v>
      </c>
      <c r="U39" s="19">
        <f t="shared" si="16"/>
        <v>4.45544554455445</v>
      </c>
      <c r="V39" s="19">
        <f t="shared" si="17"/>
        <v>3.95167396959463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421</v>
      </c>
      <c r="AJ39" s="47">
        <v>18189.280726</v>
      </c>
      <c r="AK39" s="47">
        <v>421</v>
      </c>
      <c r="AL39" s="47">
        <v>18189.280726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330</v>
      </c>
      <c r="D40" s="12">
        <v>427615.974804</v>
      </c>
      <c r="E40" s="12">
        <f t="shared" si="1"/>
        <v>0</v>
      </c>
      <c r="F40" s="12">
        <f t="shared" si="2"/>
        <v>300</v>
      </c>
      <c r="G40" s="12">
        <f t="shared" si="3"/>
        <v>6</v>
      </c>
      <c r="H40" s="12">
        <f t="shared" si="4"/>
        <v>8985</v>
      </c>
      <c r="I40" s="12">
        <f t="shared" si="5"/>
        <v>6</v>
      </c>
      <c r="J40" s="12">
        <f t="shared" si="6"/>
        <v>8985</v>
      </c>
      <c r="K40" s="12">
        <f t="shared" si="18"/>
        <v>-5</v>
      </c>
      <c r="L40" s="12">
        <f t="shared" si="7"/>
        <v>-237.97000000003</v>
      </c>
      <c r="M40" s="19">
        <f t="shared" si="8"/>
        <v>1.85185185185185</v>
      </c>
      <c r="N40" s="19">
        <f t="shared" si="9"/>
        <v>2.14628169934313</v>
      </c>
      <c r="O40" s="12">
        <f t="shared" si="10"/>
        <v>329</v>
      </c>
      <c r="P40" s="12">
        <f t="shared" si="11"/>
        <v>427115.974804</v>
      </c>
      <c r="Q40" s="12">
        <f t="shared" si="12"/>
        <v>5</v>
      </c>
      <c r="R40" s="12">
        <f t="shared" si="13"/>
        <v>8485</v>
      </c>
      <c r="S40" s="12">
        <f t="shared" si="14"/>
        <v>5</v>
      </c>
      <c r="T40" s="12">
        <f t="shared" si="15"/>
        <v>8485</v>
      </c>
      <c r="U40" s="19">
        <f t="shared" si="16"/>
        <v>1.54320987654321</v>
      </c>
      <c r="V40" s="19">
        <f t="shared" si="17"/>
        <v>2.02684476560116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330</v>
      </c>
      <c r="AJ40" s="47">
        <v>427315.974804</v>
      </c>
      <c r="AK40" s="47">
        <v>329</v>
      </c>
      <c r="AL40" s="47">
        <v>426815.974804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17528.451483</v>
      </c>
      <c r="E41" s="12">
        <f t="shared" si="1"/>
        <v>0</v>
      </c>
      <c r="F41" s="12">
        <f t="shared" si="2"/>
        <v>0</v>
      </c>
      <c r="G41" s="12">
        <f t="shared" si="3"/>
        <v>-1</v>
      </c>
      <c r="H41" s="12">
        <f t="shared" si="4"/>
        <v>-77.3746319999991</v>
      </c>
      <c r="I41" s="12">
        <f t="shared" si="5"/>
        <v>-1</v>
      </c>
      <c r="J41" s="12">
        <f t="shared" si="6"/>
        <v>-77.3746319999991</v>
      </c>
      <c r="K41" s="12">
        <f t="shared" si="18"/>
        <v>-35</v>
      </c>
      <c r="L41" s="12">
        <f t="shared" si="7"/>
        <v>-998.134632000001</v>
      </c>
      <c r="M41" s="19">
        <f t="shared" si="8"/>
        <v>-0.284090909090909</v>
      </c>
      <c r="N41" s="19">
        <f t="shared" si="9"/>
        <v>-0.439483109140085</v>
      </c>
      <c r="O41" s="12">
        <f>C41+W41+AA41-AC41+Y41</f>
        <v>351</v>
      </c>
      <c r="P41" s="12">
        <f>D41+X41+AB41-AD41+Z41</f>
        <v>17528.451483</v>
      </c>
      <c r="Q41" s="12">
        <f t="shared" si="12"/>
        <v>-1</v>
      </c>
      <c r="R41" s="12">
        <f t="shared" si="13"/>
        <v>-77.3746319999991</v>
      </c>
      <c r="S41" s="12">
        <f t="shared" si="14"/>
        <v>-1</v>
      </c>
      <c r="T41" s="12">
        <f t="shared" si="15"/>
        <v>-77.3746319999991</v>
      </c>
      <c r="U41" s="19">
        <f t="shared" si="16"/>
        <v>-0.284090909090909</v>
      </c>
      <c r="V41" s="19">
        <f t="shared" si="17"/>
        <v>-0.439483109140085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17528.451483</v>
      </c>
      <c r="AK41" s="47">
        <v>351</v>
      </c>
      <c r="AL41" s="47">
        <v>17528.451483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1756290</v>
      </c>
      <c r="E42" s="16"/>
      <c r="F42" s="12">
        <v>7857</v>
      </c>
      <c r="G42" s="16"/>
      <c r="H42" s="12">
        <v>18348</v>
      </c>
      <c r="I42" s="16"/>
      <c r="J42" s="12">
        <v>18348</v>
      </c>
      <c r="K42" s="12"/>
      <c r="L42" s="12"/>
      <c r="M42" s="20"/>
      <c r="N42" s="19">
        <v>1.06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2026-01-11T05:35:50Z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