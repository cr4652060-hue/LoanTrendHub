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<sst xmlns="http://schemas.openxmlformats.org/spreadsheetml/2006/main" count="139" uniqueCount="66">
  <si>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</si>
  <si>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2026.01.22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</si>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</sst>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25045</v>
      </c>
      <c r="D6" s="12">
        <f>SUM(D7:D41)</f>
        <v>1413087.36252</v>
      </c>
      <c r="E6" s="12">
        <f>C6-AI6</f>
        <v>41</v>
      </c>
      <c r="F6" s="12">
        <f>D6-AJ6</f>
        <v>29.8282539998181</v>
      </c>
      <c r="G6" s="12">
        <f>C6-AM6</f>
        <v>454</v>
      </c>
      <c r="H6" s="12">
        <f>D6-AN6</f>
        <v>19645.8165329997</v>
      </c>
      <c r="I6" s="12">
        <f>C6-AE6</f>
        <v>454</v>
      </c>
      <c r="J6" s="12">
        <f>D6-AF6</f>
        <v>19645.8165329997</v>
      </c>
      <c r="K6" s="12">
        <f>I6-AS6</f>
        <v>-1078</v>
      </c>
      <c r="L6" s="12">
        <f>J6-AT6</f>
        <v>-24204.6734670001</v>
      </c>
      <c r="M6" s="19">
        <f>I6/AE6*100</f>
        <v>1.84620389573421</v>
      </c>
      <c r="N6" s="19">
        <f>J6/AF6*100</f>
        <v>1.40987733497527</v>
      </c>
      <c r="O6" s="12">
        <f>C6+Y6</f>
        <v>25045</v>
      </c>
      <c r="P6" s="12">
        <f>D6+Z6</f>
        <v>1413087.36252</v>
      </c>
      <c r="Q6" s="12">
        <f>O6-AO6</f>
        <v>454</v>
      </c>
      <c r="R6" s="12">
        <f>P6-AP6</f>
        <v>19645.8165329997</v>
      </c>
      <c r="S6" s="30">
        <f>O6-AG6</f>
        <v>454</v>
      </c>
      <c r="T6" s="12">
        <f>P6-AH6</f>
        <v>19645.8165329997</v>
      </c>
      <c r="U6" s="19">
        <f>S6/AG6*100</f>
        <v>1.84620389573421</v>
      </c>
      <c r="V6" s="19">
        <f>T6/AH6*100</f>
        <v>1.40987733497527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25004</v>
      </c>
      <c r="AJ6" s="47">
        <v>1413057.534266</v>
      </c>
      <c r="AK6" s="47">
        <v>25004</v>
      </c>
      <c r="AL6" s="48">
        <v>1413057.534266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1653</v>
      </c>
      <c r="D7" s="12">
        <v>80776.04733</v>
      </c>
      <c r="E7" s="12">
        <f>C7-AI7</f>
        <v>1</v>
      </c>
      <c r="F7" s="12">
        <f>D7-AJ7</f>
        <v>-223.039246000102</v>
      </c>
      <c r="G7" s="12">
        <f>C7-AM7</f>
        <v>-4</v>
      </c>
      <c r="H7" s="12">
        <f>D7-AN7</f>
        <v>-1633.868566</v>
      </c>
      <c r="I7" s="12">
        <f>C7-AE7</f>
        <v>-4</v>
      </c>
      <c r="J7" s="12">
        <f>D7-AF7</f>
        <v>-1633.868566</v>
      </c>
      <c r="K7" s="12">
        <f t="shared" ref="K6:K12" si="0">I7-AS7</f>
        <v>-35</v>
      </c>
      <c r="L7" s="12">
        <f>J7-AT7</f>
        <v>-3141.40856600001</v>
      </c>
      <c r="M7" s="19">
        <f>I7/AE7*100</f>
        <v>-0.24140012070006</v>
      </c>
      <c r="N7" s="19">
        <f>J7/AF7*100</f>
        <v>-1.98261161686164</v>
      </c>
      <c r="O7" s="12">
        <f>C7+W7+AA7-AC7</f>
        <v>1653</v>
      </c>
      <c r="P7" s="12">
        <f>D7+X7+AB7-AD7</f>
        <v>80776.04733</v>
      </c>
      <c r="Q7" s="12">
        <f>O7-AO7</f>
        <v>-4</v>
      </c>
      <c r="R7" s="12">
        <f>P7-AP7</f>
        <v>-1633.868566</v>
      </c>
      <c r="S7" s="12">
        <f>O7-AG7</f>
        <v>-4</v>
      </c>
      <c r="T7" s="12">
        <f>P7-AH7</f>
        <v>-1633.868566</v>
      </c>
      <c r="U7" s="19">
        <f>S7/AG7*100</f>
        <v>-0.24140012070006</v>
      </c>
      <c r="V7" s="19">
        <f>T7/AH7*100</f>
        <v>-1.98261161686164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1652</v>
      </c>
      <c r="AJ7" s="47">
        <v>80999.0865760001</v>
      </c>
      <c r="AK7" s="47">
        <v>1652</v>
      </c>
      <c r="AL7" s="47">
        <v>80999.0865760001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1901</v>
      </c>
      <c r="D8" s="12">
        <v>121148.281602</v>
      </c>
      <c r="E8" s="12">
        <f>C8-AI8</f>
        <v>1</v>
      </c>
      <c r="F8" s="12">
        <f>D8-AJ8</f>
        <v>-673.193784999996</v>
      </c>
      <c r="G8" s="12">
        <f>C8-AM8</f>
        <v>-24</v>
      </c>
      <c r="H8" s="12">
        <f>D8-AN8</f>
        <v>-2080.087994</v>
      </c>
      <c r="I8" s="12">
        <f>C8-AE8</f>
        <v>-24</v>
      </c>
      <c r="J8" s="12">
        <f>D8-AF8</f>
        <v>-2080.087994</v>
      </c>
      <c r="K8" s="12">
        <f t="shared" si="0"/>
        <v>-24</v>
      </c>
      <c r="L8" s="12">
        <f>J8-AT8</f>
        <v>-966.237993999991</v>
      </c>
      <c r="M8" s="19">
        <f>I8/AE8*100</f>
        <v>-1.24675324675325</v>
      </c>
      <c r="N8" s="19">
        <f>J8/AF8*100</f>
        <v>-1.68799441299069</v>
      </c>
      <c r="O8" s="12">
        <f>C8+W8+AA8-AC8</f>
        <v>1909</v>
      </c>
      <c r="P8" s="12">
        <f>D8+X8+AB8-AD8</f>
        <v>121353.647602</v>
      </c>
      <c r="Q8" s="12">
        <f>O8-AO8</f>
        <v>-16</v>
      </c>
      <c r="R8" s="12">
        <f>P8-AP8</f>
        <v>-1874.72199400001</v>
      </c>
      <c r="S8" s="30">
        <f>O8-AG8</f>
        <v>-16</v>
      </c>
      <c r="T8" s="12">
        <f>P8-AH8</f>
        <v>-1874.72199400001</v>
      </c>
      <c r="U8" s="19">
        <f>S8/AG8*100</f>
        <v>-0.831168831168831</v>
      </c>
      <c r="V8" s="19">
        <f>T8/AH8*100</f>
        <v>-1.52133960722374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1900</v>
      </c>
      <c r="AJ8" s="47">
        <v>121821.475387</v>
      </c>
      <c r="AK8" s="47">
        <v>1908</v>
      </c>
      <c r="AL8" s="47">
        <v>122026.841387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772</v>
      </c>
      <c r="D9" s="12">
        <v>23585.142486</v>
      </c>
      <c r="E9" s="12">
        <f t="shared" ref="E9:E41" si="1">C9-AI9</f>
        <v>1</v>
      </c>
      <c r="F9" s="12">
        <f t="shared" ref="F9:F41" si="2">D9-AJ9</f>
        <v>-140.291647999999</v>
      </c>
      <c r="G9" s="12">
        <f t="shared" ref="G9:G41" si="3">C9-AM9</f>
        <v>59</v>
      </c>
      <c r="H9" s="12">
        <f t="shared" ref="H9:H41" si="4">D9-AN9</f>
        <v>466.847249999999</v>
      </c>
      <c r="I9" s="12">
        <f t="shared" ref="I9:I41" si="5">C9-AE9</f>
        <v>59</v>
      </c>
      <c r="J9" s="12">
        <f t="shared" ref="J9:J41" si="6">D9-AF9</f>
        <v>466.847249999999</v>
      </c>
      <c r="K9" s="12">
        <f t="shared" si="0"/>
        <v>-42</v>
      </c>
      <c r="L9" s="12">
        <f t="shared" ref="L9:L41" si="7">J9-AT9</f>
        <v>-786.232750000001</v>
      </c>
      <c r="M9" s="19">
        <f t="shared" ref="M9:M41" si="8">I9/AE9*100</f>
        <v>8.27489481065919</v>
      </c>
      <c r="N9" s="19">
        <f t="shared" ref="N9:N41" si="9">J9/AF9*100</f>
        <v>2.01938441063345</v>
      </c>
      <c r="O9" s="12">
        <f t="shared" ref="O9:O40" si="10">C9+W9+AA9-AC9</f>
        <v>772</v>
      </c>
      <c r="P9" s="12">
        <f t="shared" ref="P9:P40" si="11">D9+X9+AB9-AD9</f>
        <v>23585.142486</v>
      </c>
      <c r="Q9" s="12">
        <f t="shared" ref="Q9:Q41" si="12">O9-AO9</f>
        <v>59</v>
      </c>
      <c r="R9" s="12">
        <f t="shared" ref="R9:R41" si="13">P9-AP9</f>
        <v>466.847249999999</v>
      </c>
      <c r="S9" s="12">
        <f t="shared" ref="S9:S41" si="14">O9-AG9</f>
        <v>59</v>
      </c>
      <c r="T9" s="12">
        <f t="shared" ref="T9:T41" si="15">P9-AH9</f>
        <v>466.847249999999</v>
      </c>
      <c r="U9" s="19">
        <f t="shared" ref="U9:U41" si="16">S9/AG9*100</f>
        <v>8.27489481065919</v>
      </c>
      <c r="V9" s="19">
        <f t="shared" ref="V9:V41" si="17">T9/AH9*100</f>
        <v>2.01938441063345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771</v>
      </c>
      <c r="AJ9" s="47">
        <v>23725.434134</v>
      </c>
      <c r="AK9" s="47">
        <v>771</v>
      </c>
      <c r="AL9" s="47">
        <v>23725.434134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933</v>
      </c>
      <c r="D10" s="12">
        <v>27822.510093</v>
      </c>
      <c r="E10" s="12">
        <f t="shared" si="1"/>
        <v>-2</v>
      </c>
      <c r="F10" s="12">
        <f t="shared" si="2"/>
        <v>-2</v>
      </c>
      <c r="G10" s="12">
        <f t="shared" si="3"/>
        <v>42</v>
      </c>
      <c r="H10" s="12">
        <f t="shared" si="4"/>
        <v>-53.1909820000001</v>
      </c>
      <c r="I10" s="12">
        <f t="shared" si="5"/>
        <v>42</v>
      </c>
      <c r="J10" s="12">
        <f t="shared" si="6"/>
        <v>-53.1909820000001</v>
      </c>
      <c r="K10" s="12">
        <f t="shared" si="0"/>
        <v>24</v>
      </c>
      <c r="L10" s="12">
        <f t="shared" si="7"/>
        <v>-1763.960982</v>
      </c>
      <c r="M10" s="19">
        <f t="shared" si="8"/>
        <v>4.71380471380471</v>
      </c>
      <c r="N10" s="19">
        <f t="shared" si="9"/>
        <v>-0.190814867245451</v>
      </c>
      <c r="O10" s="12">
        <f t="shared" si="10"/>
        <v>933</v>
      </c>
      <c r="P10" s="12">
        <f t="shared" si="11"/>
        <v>27822.510093</v>
      </c>
      <c r="Q10" s="12">
        <f t="shared" si="12"/>
        <v>42</v>
      </c>
      <c r="R10" s="12">
        <f t="shared" si="13"/>
        <v>-53.1909820000001</v>
      </c>
      <c r="S10" s="12">
        <f t="shared" si="14"/>
        <v>42</v>
      </c>
      <c r="T10" s="12">
        <f t="shared" si="15"/>
        <v>-53.1909820000001</v>
      </c>
      <c r="U10" s="19">
        <f t="shared" si="16"/>
        <v>4.71380471380471</v>
      </c>
      <c r="V10" s="19">
        <f t="shared" si="17"/>
        <v>-0.190814867245451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935</v>
      </c>
      <c r="AJ10" s="47">
        <v>27824.510093</v>
      </c>
      <c r="AK10" s="47">
        <v>935</v>
      </c>
      <c r="AL10" s="47">
        <v>27824.510093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514</v>
      </c>
      <c r="D11" s="12">
        <v>12609.920246</v>
      </c>
      <c r="E11" s="12">
        <f t="shared" si="1"/>
        <v>0</v>
      </c>
      <c r="F11" s="12">
        <f t="shared" si="2"/>
        <v>-45.4302900000002</v>
      </c>
      <c r="G11" s="12">
        <f t="shared" si="3"/>
        <v>23</v>
      </c>
      <c r="H11" s="12">
        <f t="shared" si="4"/>
        <v>468.448431999999</v>
      </c>
      <c r="I11" s="12">
        <f t="shared" si="5"/>
        <v>23</v>
      </c>
      <c r="J11" s="12">
        <f t="shared" si="6"/>
        <v>468.448431999999</v>
      </c>
      <c r="K11" s="12">
        <f t="shared" si="0"/>
        <v>-16</v>
      </c>
      <c r="L11" s="12">
        <f t="shared" si="7"/>
        <v>-468.211568000001</v>
      </c>
      <c r="M11" s="19">
        <f t="shared" si="8"/>
        <v>4.68431771894094</v>
      </c>
      <c r="N11" s="19">
        <f t="shared" si="9"/>
        <v>3.85825078850691</v>
      </c>
      <c r="O11" s="12">
        <f t="shared" si="10"/>
        <v>514</v>
      </c>
      <c r="P11" s="12">
        <f t="shared" si="11"/>
        <v>12609.920246</v>
      </c>
      <c r="Q11" s="12">
        <f t="shared" si="12"/>
        <v>23</v>
      </c>
      <c r="R11" s="12">
        <f t="shared" si="13"/>
        <v>468.448431999999</v>
      </c>
      <c r="S11" s="12">
        <f t="shared" si="14"/>
        <v>23</v>
      </c>
      <c r="T11" s="12">
        <f t="shared" si="15"/>
        <v>468.448431999999</v>
      </c>
      <c r="U11" s="19">
        <f t="shared" si="16"/>
        <v>4.68431771894094</v>
      </c>
      <c r="V11" s="19">
        <f t="shared" si="17"/>
        <v>3.85825078850691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514</v>
      </c>
      <c r="AJ11" s="47">
        <v>12655.350536</v>
      </c>
      <c r="AK11" s="47">
        <v>514</v>
      </c>
      <c r="AL11" s="47">
        <v>12655.350536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400</v>
      </c>
      <c r="D12" s="12">
        <v>14428.637473</v>
      </c>
      <c r="E12" s="12">
        <f t="shared" si="1"/>
        <v>4</v>
      </c>
      <c r="F12" s="12">
        <f t="shared" si="2"/>
        <v>100.468308000001</v>
      </c>
      <c r="G12" s="12">
        <f t="shared" si="3"/>
        <v>42</v>
      </c>
      <c r="H12" s="12">
        <f t="shared" si="4"/>
        <v>1053.391136</v>
      </c>
      <c r="I12" s="12">
        <f t="shared" si="5"/>
        <v>42</v>
      </c>
      <c r="J12" s="12">
        <f t="shared" si="6"/>
        <v>1053.391136</v>
      </c>
      <c r="K12" s="12">
        <f t="shared" si="0"/>
        <v>-31</v>
      </c>
      <c r="L12" s="12">
        <f t="shared" si="7"/>
        <v>-440.608864</v>
      </c>
      <c r="M12" s="19">
        <f t="shared" si="8"/>
        <v>11.731843575419</v>
      </c>
      <c r="N12" s="19">
        <f t="shared" si="9"/>
        <v>7.87567652556798</v>
      </c>
      <c r="O12" s="12">
        <f t="shared" si="10"/>
        <v>400</v>
      </c>
      <c r="P12" s="12">
        <f t="shared" si="11"/>
        <v>14428.637473</v>
      </c>
      <c r="Q12" s="12">
        <f t="shared" si="12"/>
        <v>42</v>
      </c>
      <c r="R12" s="12">
        <f t="shared" si="13"/>
        <v>1053.391136</v>
      </c>
      <c r="S12" s="30">
        <f t="shared" si="14"/>
        <v>42</v>
      </c>
      <c r="T12" s="12">
        <f t="shared" si="15"/>
        <v>1053.391136</v>
      </c>
      <c r="U12" s="19">
        <f t="shared" si="16"/>
        <v>11.731843575419</v>
      </c>
      <c r="V12" s="19">
        <f t="shared" si="17"/>
        <v>7.87567652556798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396</v>
      </c>
      <c r="AJ12" s="47">
        <v>14328.169165</v>
      </c>
      <c r="AK12" s="47">
        <v>396</v>
      </c>
      <c r="AL12" s="47">
        <v>14328.169165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474</v>
      </c>
      <c r="D13" s="12">
        <v>11700.790473</v>
      </c>
      <c r="E13" s="12">
        <f t="shared" si="1"/>
        <v>-1</v>
      </c>
      <c r="F13" s="12">
        <f t="shared" si="2"/>
        <v>-105.84</v>
      </c>
      <c r="G13" s="12">
        <f t="shared" si="3"/>
        <v>5</v>
      </c>
      <c r="H13" s="12">
        <f t="shared" si="4"/>
        <v>-336.499143000001</v>
      </c>
      <c r="I13" s="12">
        <f t="shared" si="5"/>
        <v>5</v>
      </c>
      <c r="J13" s="12">
        <f t="shared" si="6"/>
        <v>-336.499143000001</v>
      </c>
      <c r="K13" s="12">
        <f t="shared" ref="K9:K41" si="18">I13-AS13</f>
        <v>2</v>
      </c>
      <c r="L13" s="12">
        <f t="shared" si="7"/>
        <v>-902.969143000002</v>
      </c>
      <c r="M13" s="19">
        <f t="shared" si="8"/>
        <v>1.06609808102345</v>
      </c>
      <c r="N13" s="19">
        <f t="shared" si="9"/>
        <v>-2.79547268309242</v>
      </c>
      <c r="O13" s="12">
        <f t="shared" si="10"/>
        <v>478</v>
      </c>
      <c r="P13" s="12">
        <f t="shared" si="11"/>
        <v>11790.290473</v>
      </c>
      <c r="Q13" s="12">
        <f t="shared" si="12"/>
        <v>9</v>
      </c>
      <c r="R13" s="12">
        <f t="shared" si="13"/>
        <v>-246.999143000001</v>
      </c>
      <c r="S13" s="12">
        <f t="shared" si="14"/>
        <v>9</v>
      </c>
      <c r="T13" s="12">
        <f t="shared" si="15"/>
        <v>-246.999143000001</v>
      </c>
      <c r="U13" s="19">
        <f t="shared" si="16"/>
        <v>1.91897654584222</v>
      </c>
      <c r="V13" s="19">
        <f t="shared" si="17"/>
        <v>-2.05194982325331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475</v>
      </c>
      <c r="AJ13" s="47">
        <v>11806.630473</v>
      </c>
      <c r="AK13" s="47">
        <v>479</v>
      </c>
      <c r="AL13" s="47">
        <v>11896.130473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372</v>
      </c>
      <c r="D14" s="12">
        <v>11364.689244</v>
      </c>
      <c r="E14" s="12">
        <f t="shared" si="1"/>
        <v>0</v>
      </c>
      <c r="F14" s="12">
        <f t="shared" si="2"/>
        <v>-51.75</v>
      </c>
      <c r="G14" s="12">
        <f t="shared" si="3"/>
        <v>24</v>
      </c>
      <c r="H14" s="12">
        <f t="shared" si="4"/>
        <v>784.998195999999</v>
      </c>
      <c r="I14" s="12">
        <f t="shared" si="5"/>
        <v>24</v>
      </c>
      <c r="J14" s="12">
        <f t="shared" si="6"/>
        <v>784.998195999999</v>
      </c>
      <c r="K14" s="12">
        <f t="shared" si="18"/>
        <v>-52</v>
      </c>
      <c r="L14" s="12">
        <f t="shared" si="7"/>
        <v>-132.301804</v>
      </c>
      <c r="M14" s="19">
        <f t="shared" si="8"/>
        <v>6.89655172413793</v>
      </c>
      <c r="N14" s="19">
        <f t="shared" si="9"/>
        <v>7.41985935542414</v>
      </c>
      <c r="O14" s="12">
        <f t="shared" si="10"/>
        <v>372</v>
      </c>
      <c r="P14" s="12">
        <f t="shared" si="11"/>
        <v>11364.689244</v>
      </c>
      <c r="Q14" s="12">
        <f t="shared" si="12"/>
        <v>24</v>
      </c>
      <c r="R14" s="12">
        <f t="shared" si="13"/>
        <v>784.998195999999</v>
      </c>
      <c r="S14" s="12">
        <f t="shared" si="14"/>
        <v>24</v>
      </c>
      <c r="T14" s="12">
        <f t="shared" si="15"/>
        <v>784.998195999999</v>
      </c>
      <c r="U14" s="19">
        <f t="shared" si="16"/>
        <v>6.89655172413793</v>
      </c>
      <c r="V14" s="19">
        <f t="shared" si="17"/>
        <v>7.41985935542414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372</v>
      </c>
      <c r="AJ14" s="47">
        <v>11416.439244</v>
      </c>
      <c r="AK14" s="47">
        <v>372</v>
      </c>
      <c r="AL14" s="47">
        <v>11416.439244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712</v>
      </c>
      <c r="D15" s="12">
        <v>18028.711405</v>
      </c>
      <c r="E15" s="12">
        <f t="shared" si="1"/>
        <v>-2</v>
      </c>
      <c r="F15" s="12">
        <f t="shared" si="2"/>
        <v>-154.429218000001</v>
      </c>
      <c r="G15" s="12">
        <f t="shared" si="3"/>
        <v>58</v>
      </c>
      <c r="H15" s="12">
        <f t="shared" si="4"/>
        <v>487.374658999997</v>
      </c>
      <c r="I15" s="12">
        <f t="shared" si="5"/>
        <v>58</v>
      </c>
      <c r="J15" s="12">
        <f t="shared" si="6"/>
        <v>487.374658999997</v>
      </c>
      <c r="K15" s="12">
        <f t="shared" si="18"/>
        <v>-52</v>
      </c>
      <c r="L15" s="12">
        <f t="shared" si="7"/>
        <v>-972.475341000003</v>
      </c>
      <c r="M15" s="19">
        <f t="shared" si="8"/>
        <v>8.86850152905199</v>
      </c>
      <c r="N15" s="19">
        <f t="shared" si="9"/>
        <v>2.77843511048914</v>
      </c>
      <c r="O15" s="12">
        <f t="shared" si="10"/>
        <v>712</v>
      </c>
      <c r="P15" s="12">
        <f t="shared" si="11"/>
        <v>18028.711405</v>
      </c>
      <c r="Q15" s="12">
        <f t="shared" si="12"/>
        <v>58</v>
      </c>
      <c r="R15" s="12">
        <f t="shared" si="13"/>
        <v>487.374658999997</v>
      </c>
      <c r="S15" s="12">
        <f t="shared" si="14"/>
        <v>58</v>
      </c>
      <c r="T15" s="12">
        <f t="shared" si="15"/>
        <v>487.374658999997</v>
      </c>
      <c r="U15" s="19">
        <f t="shared" si="16"/>
        <v>8.86850152905199</v>
      </c>
      <c r="V15" s="19">
        <f t="shared" si="17"/>
        <v>2.77843511048914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714</v>
      </c>
      <c r="AJ15" s="47">
        <v>18183.140623</v>
      </c>
      <c r="AK15" s="47">
        <v>714</v>
      </c>
      <c r="AL15" s="47">
        <v>18183.140623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697</v>
      </c>
      <c r="D16" s="12">
        <v>24425.729386</v>
      </c>
      <c r="E16" s="12">
        <f t="shared" si="1"/>
        <v>0</v>
      </c>
      <c r="F16" s="12">
        <f t="shared" si="2"/>
        <v>595.293105999997</v>
      </c>
      <c r="G16" s="12">
        <f t="shared" si="3"/>
        <v>-6</v>
      </c>
      <c r="H16" s="12">
        <f t="shared" si="4"/>
        <v>1525.002423</v>
      </c>
      <c r="I16" s="12">
        <f t="shared" si="5"/>
        <v>-6</v>
      </c>
      <c r="J16" s="12">
        <f t="shared" si="6"/>
        <v>1525.002423</v>
      </c>
      <c r="K16" s="12">
        <f t="shared" si="18"/>
        <v>-69</v>
      </c>
      <c r="L16" s="12">
        <f t="shared" si="7"/>
        <v>737.042422999999</v>
      </c>
      <c r="M16" s="19">
        <f t="shared" si="8"/>
        <v>-0.85348506401138</v>
      </c>
      <c r="N16" s="19">
        <f t="shared" si="9"/>
        <v>6.65918783042957</v>
      </c>
      <c r="O16" s="12">
        <f t="shared" si="10"/>
        <v>697</v>
      </c>
      <c r="P16" s="12">
        <f t="shared" si="11"/>
        <v>24425.729386</v>
      </c>
      <c r="Q16" s="12">
        <f t="shared" si="12"/>
        <v>-6</v>
      </c>
      <c r="R16" s="12">
        <f t="shared" si="13"/>
        <v>1525.002423</v>
      </c>
      <c r="S16" s="12">
        <f t="shared" si="14"/>
        <v>-6</v>
      </c>
      <c r="T16" s="12">
        <f t="shared" si="15"/>
        <v>1525.002423</v>
      </c>
      <c r="U16" s="19">
        <f t="shared" si="16"/>
        <v>-0.85348506401138</v>
      </c>
      <c r="V16" s="19">
        <f t="shared" si="17"/>
        <v>6.65918783042957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697</v>
      </c>
      <c r="AJ16" s="47">
        <v>23830.43628</v>
      </c>
      <c r="AK16" s="47">
        <v>697</v>
      </c>
      <c r="AL16" s="47">
        <v>23830.43628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582</v>
      </c>
      <c r="D17" s="12">
        <v>18021.383373</v>
      </c>
      <c r="E17" s="12">
        <f t="shared" si="1"/>
        <v>4</v>
      </c>
      <c r="F17" s="12">
        <f t="shared" si="2"/>
        <v>102.130000000001</v>
      </c>
      <c r="G17" s="12">
        <f t="shared" si="3"/>
        <v>-17</v>
      </c>
      <c r="H17" s="12">
        <f t="shared" si="4"/>
        <v>-408.637503999998</v>
      </c>
      <c r="I17" s="12">
        <f t="shared" si="5"/>
        <v>-17</v>
      </c>
      <c r="J17" s="12">
        <f t="shared" si="6"/>
        <v>-408.637503999998</v>
      </c>
      <c r="K17" s="12">
        <f t="shared" si="18"/>
        <v>-25</v>
      </c>
      <c r="L17" s="12">
        <f t="shared" si="7"/>
        <v>-1138.347504</v>
      </c>
      <c r="M17" s="19">
        <f t="shared" si="8"/>
        <v>-2.83806343906511</v>
      </c>
      <c r="N17" s="19">
        <f t="shared" si="9"/>
        <v>-2.21723842163393</v>
      </c>
      <c r="O17" s="12">
        <f t="shared" si="10"/>
        <v>585</v>
      </c>
      <c r="P17" s="12">
        <f t="shared" si="11"/>
        <v>18071.670473</v>
      </c>
      <c r="Q17" s="12">
        <f t="shared" si="12"/>
        <v>-14</v>
      </c>
      <c r="R17" s="12">
        <f t="shared" si="13"/>
        <v>-358.350403999997</v>
      </c>
      <c r="S17" s="30">
        <f t="shared" si="14"/>
        <v>-14</v>
      </c>
      <c r="T17" s="12">
        <f t="shared" si="15"/>
        <v>-358.350403999997</v>
      </c>
      <c r="U17" s="19">
        <f t="shared" si="16"/>
        <v>-2.33722871452421</v>
      </c>
      <c r="V17" s="19">
        <f t="shared" si="17"/>
        <v>-1.94438414579989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578</v>
      </c>
      <c r="AJ17" s="47">
        <v>17919.253373</v>
      </c>
      <c r="AK17" s="47">
        <v>581</v>
      </c>
      <c r="AL17" s="47">
        <v>17969.540473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478</v>
      </c>
      <c r="D18" s="12">
        <v>20281.230126</v>
      </c>
      <c r="E18" s="12">
        <f t="shared" si="1"/>
        <v>1</v>
      </c>
      <c r="F18" s="12">
        <f t="shared" si="2"/>
        <v>28.689409999999</v>
      </c>
      <c r="G18" s="12">
        <f t="shared" si="3"/>
        <v>-4</v>
      </c>
      <c r="H18" s="12">
        <f t="shared" si="4"/>
        <v>723.766725999998</v>
      </c>
      <c r="I18" s="12">
        <f t="shared" si="5"/>
        <v>-4</v>
      </c>
      <c r="J18" s="12">
        <f t="shared" si="6"/>
        <v>723.766725999998</v>
      </c>
      <c r="K18" s="12">
        <f t="shared" si="18"/>
        <v>-15</v>
      </c>
      <c r="L18" s="12">
        <f t="shared" si="7"/>
        <v>-587.703274000002</v>
      </c>
      <c r="M18" s="19">
        <f t="shared" si="8"/>
        <v>-0.829875518672199</v>
      </c>
      <c r="N18" s="19">
        <f t="shared" si="9"/>
        <v>3.70071880589585</v>
      </c>
      <c r="O18" s="12">
        <f t="shared" si="10"/>
        <v>478</v>
      </c>
      <c r="P18" s="12">
        <f t="shared" si="11"/>
        <v>20281.230126</v>
      </c>
      <c r="Q18" s="12">
        <f t="shared" si="12"/>
        <v>-4</v>
      </c>
      <c r="R18" s="12">
        <f t="shared" si="13"/>
        <v>723.766725999998</v>
      </c>
      <c r="S18" s="12">
        <f t="shared" si="14"/>
        <v>-4</v>
      </c>
      <c r="T18" s="12">
        <f t="shared" si="15"/>
        <v>723.766725999998</v>
      </c>
      <c r="U18" s="19">
        <f t="shared" si="16"/>
        <v>-0.829875518672199</v>
      </c>
      <c r="V18" s="19">
        <f t="shared" si="17"/>
        <v>3.70071880589585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477</v>
      </c>
      <c r="AJ18" s="47">
        <v>20252.540716</v>
      </c>
      <c r="AK18" s="47">
        <v>477</v>
      </c>
      <c r="AL18" s="47">
        <v>20252.540716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438</v>
      </c>
      <c r="D19" s="12">
        <v>15315.051862</v>
      </c>
      <c r="E19" s="12">
        <f t="shared" si="1"/>
        <v>3</v>
      </c>
      <c r="F19" s="12">
        <f t="shared" si="2"/>
        <v>19.1900000000005</v>
      </c>
      <c r="G19" s="12">
        <f t="shared" si="3"/>
        <v>6</v>
      </c>
      <c r="H19" s="12">
        <f t="shared" si="4"/>
        <v>684.70549</v>
      </c>
      <c r="I19" s="12">
        <f t="shared" si="5"/>
        <v>6</v>
      </c>
      <c r="J19" s="12">
        <f t="shared" si="6"/>
        <v>684.70549</v>
      </c>
      <c r="K19" s="12">
        <f t="shared" si="18"/>
        <v>-26</v>
      </c>
      <c r="L19" s="12">
        <f t="shared" si="7"/>
        <v>-118.27451</v>
      </c>
      <c r="M19" s="19">
        <f t="shared" si="8"/>
        <v>1.38888888888889</v>
      </c>
      <c r="N19" s="19">
        <f t="shared" si="9"/>
        <v>4.6800360879385</v>
      </c>
      <c r="O19" s="12">
        <f t="shared" si="10"/>
        <v>440</v>
      </c>
      <c r="P19" s="12">
        <f t="shared" si="11"/>
        <v>15331.349962</v>
      </c>
      <c r="Q19" s="12">
        <f t="shared" si="12"/>
        <v>8</v>
      </c>
      <c r="R19" s="12">
        <f t="shared" si="13"/>
        <v>701.00359</v>
      </c>
      <c r="S19" s="12">
        <f t="shared" si="14"/>
        <v>8</v>
      </c>
      <c r="T19" s="12">
        <f t="shared" si="15"/>
        <v>701.00359</v>
      </c>
      <c r="U19" s="19">
        <f t="shared" si="16"/>
        <v>1.85185185185185</v>
      </c>
      <c r="V19" s="19">
        <f t="shared" si="17"/>
        <v>4.79143536438483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435</v>
      </c>
      <c r="AJ19" s="47">
        <v>15295.861862</v>
      </c>
      <c r="AK19" s="47">
        <v>437</v>
      </c>
      <c r="AL19" s="47">
        <v>15312.159962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648</v>
      </c>
      <c r="D20" s="12">
        <v>19499.144004</v>
      </c>
      <c r="E20" s="12">
        <f t="shared" si="1"/>
        <v>-3</v>
      </c>
      <c r="F20" s="12">
        <f t="shared" si="2"/>
        <v>15.3016740000021</v>
      </c>
      <c r="G20" s="12">
        <f t="shared" si="3"/>
        <v>37</v>
      </c>
      <c r="H20" s="12">
        <f t="shared" si="4"/>
        <v>1480.4264</v>
      </c>
      <c r="I20" s="12">
        <f t="shared" si="5"/>
        <v>37</v>
      </c>
      <c r="J20" s="12">
        <f t="shared" si="6"/>
        <v>1480.4264</v>
      </c>
      <c r="K20" s="12">
        <f t="shared" si="18"/>
        <v>-44</v>
      </c>
      <c r="L20" s="12">
        <f t="shared" si="7"/>
        <v>-736.2236</v>
      </c>
      <c r="M20" s="19">
        <f t="shared" si="8"/>
        <v>6.0556464811784</v>
      </c>
      <c r="N20" s="19">
        <f t="shared" si="9"/>
        <v>8.21604751534237</v>
      </c>
      <c r="O20" s="12">
        <f t="shared" si="10"/>
        <v>649</v>
      </c>
      <c r="P20" s="12">
        <f t="shared" si="11"/>
        <v>19528.644004</v>
      </c>
      <c r="Q20" s="12">
        <f t="shared" si="12"/>
        <v>38</v>
      </c>
      <c r="R20" s="12">
        <f t="shared" si="13"/>
        <v>1509.9264</v>
      </c>
      <c r="S20" s="12">
        <f t="shared" si="14"/>
        <v>38</v>
      </c>
      <c r="T20" s="12">
        <f t="shared" si="15"/>
        <v>1509.9264</v>
      </c>
      <c r="U20" s="19">
        <f t="shared" si="16"/>
        <v>6.21931260229133</v>
      </c>
      <c r="V20" s="19">
        <f t="shared" si="17"/>
        <v>8.379766158635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651</v>
      </c>
      <c r="AJ20" s="47">
        <v>19483.84233</v>
      </c>
      <c r="AK20" s="47">
        <v>652</v>
      </c>
      <c r="AL20" s="47">
        <v>19513.34233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444</v>
      </c>
      <c r="D21" s="12">
        <v>15126.954708</v>
      </c>
      <c r="E21" s="12">
        <f t="shared" si="1"/>
        <v>4</v>
      </c>
      <c r="F21" s="12">
        <f t="shared" si="2"/>
        <v>-13.978000000001</v>
      </c>
      <c r="G21" s="12">
        <f t="shared" si="3"/>
        <v>6</v>
      </c>
      <c r="H21" s="12">
        <f t="shared" si="4"/>
        <v>-297.509565</v>
      </c>
      <c r="I21" s="12">
        <f t="shared" si="5"/>
        <v>6</v>
      </c>
      <c r="J21" s="12">
        <f t="shared" si="6"/>
        <v>-297.509565</v>
      </c>
      <c r="K21" s="12">
        <f t="shared" si="18"/>
        <v>-51</v>
      </c>
      <c r="L21" s="12">
        <f t="shared" si="7"/>
        <v>-1307.409565</v>
      </c>
      <c r="M21" s="19">
        <f t="shared" si="8"/>
        <v>1.36986301369863</v>
      </c>
      <c r="N21" s="19">
        <f t="shared" si="9"/>
        <v>-1.92881619571566</v>
      </c>
      <c r="O21" s="12">
        <f t="shared" si="10"/>
        <v>444</v>
      </c>
      <c r="P21" s="12">
        <f t="shared" si="11"/>
        <v>15126.954708</v>
      </c>
      <c r="Q21" s="12">
        <f t="shared" si="12"/>
        <v>6</v>
      </c>
      <c r="R21" s="12">
        <f t="shared" si="13"/>
        <v>-297.509565</v>
      </c>
      <c r="S21" s="30">
        <f t="shared" si="14"/>
        <v>6</v>
      </c>
      <c r="T21" s="12">
        <f t="shared" si="15"/>
        <v>-297.509565</v>
      </c>
      <c r="U21" s="19">
        <f t="shared" si="16"/>
        <v>1.36986301369863</v>
      </c>
      <c r="V21" s="19">
        <f t="shared" si="17"/>
        <v>-1.92881619571566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440</v>
      </c>
      <c r="AJ21" s="47">
        <v>15140.932708</v>
      </c>
      <c r="AK21" s="47">
        <v>440</v>
      </c>
      <c r="AL21" s="47">
        <v>15140.932708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730</v>
      </c>
      <c r="D22" s="12">
        <v>26248.604369</v>
      </c>
      <c r="E22" s="12">
        <f t="shared" si="1"/>
        <v>-1</v>
      </c>
      <c r="F22" s="12">
        <f t="shared" si="2"/>
        <v>699.900000000001</v>
      </c>
      <c r="G22" s="12">
        <f t="shared" si="3"/>
        <v>56</v>
      </c>
      <c r="H22" s="12">
        <f t="shared" si="4"/>
        <v>2904.035401</v>
      </c>
      <c r="I22" s="12">
        <f t="shared" si="5"/>
        <v>56</v>
      </c>
      <c r="J22" s="12">
        <f t="shared" si="6"/>
        <v>2904.035401</v>
      </c>
      <c r="K22" s="12">
        <f t="shared" si="18"/>
        <v>-6</v>
      </c>
      <c r="L22" s="12">
        <f t="shared" si="7"/>
        <v>1625.115401</v>
      </c>
      <c r="M22" s="19">
        <f t="shared" si="8"/>
        <v>8.30860534124629</v>
      </c>
      <c r="N22" s="19">
        <f t="shared" si="9"/>
        <v>12.4398758656918</v>
      </c>
      <c r="O22" s="12">
        <f t="shared" si="10"/>
        <v>731</v>
      </c>
      <c r="P22" s="12">
        <f t="shared" si="11"/>
        <v>26343.604369</v>
      </c>
      <c r="Q22" s="12">
        <f t="shared" si="12"/>
        <v>57</v>
      </c>
      <c r="R22" s="12">
        <f t="shared" si="13"/>
        <v>2999.035401</v>
      </c>
      <c r="S22" s="12">
        <f t="shared" si="14"/>
        <v>57</v>
      </c>
      <c r="T22" s="12">
        <f t="shared" si="15"/>
        <v>2999.035401</v>
      </c>
      <c r="U22" s="19">
        <f t="shared" si="16"/>
        <v>8.45697329376855</v>
      </c>
      <c r="V22" s="19">
        <f t="shared" si="17"/>
        <v>12.8468227668328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731</v>
      </c>
      <c r="AJ22" s="47">
        <v>25548.704369</v>
      </c>
      <c r="AK22" s="47">
        <v>732</v>
      </c>
      <c r="AL22" s="47">
        <v>25643.704369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728</v>
      </c>
      <c r="D23" s="12">
        <v>25066.822396</v>
      </c>
      <c r="E23" s="12">
        <f t="shared" si="1"/>
        <v>24</v>
      </c>
      <c r="F23" s="12">
        <f t="shared" si="2"/>
        <v>193.724102</v>
      </c>
      <c r="G23" s="12">
        <f t="shared" si="3"/>
        <v>28</v>
      </c>
      <c r="H23" s="12">
        <f t="shared" si="4"/>
        <v>-953.366190000001</v>
      </c>
      <c r="I23" s="12">
        <f t="shared" si="5"/>
        <v>28</v>
      </c>
      <c r="J23" s="12">
        <f t="shared" si="6"/>
        <v>-953.366190000001</v>
      </c>
      <c r="K23" s="12">
        <f t="shared" si="18"/>
        <v>-14</v>
      </c>
      <c r="L23" s="12">
        <f t="shared" si="7"/>
        <v>-1481.77619</v>
      </c>
      <c r="M23" s="19">
        <f t="shared" si="8"/>
        <v>4</v>
      </c>
      <c r="N23" s="19">
        <f t="shared" si="9"/>
        <v>-3.66394804114891</v>
      </c>
      <c r="O23" s="12">
        <f t="shared" si="10"/>
        <v>728</v>
      </c>
      <c r="P23" s="12">
        <f t="shared" si="11"/>
        <v>25066.822396</v>
      </c>
      <c r="Q23" s="12">
        <f t="shared" si="12"/>
        <v>28</v>
      </c>
      <c r="R23" s="12">
        <f t="shared" si="13"/>
        <v>-953.366190000001</v>
      </c>
      <c r="S23" s="12">
        <f t="shared" si="14"/>
        <v>28</v>
      </c>
      <c r="T23" s="12">
        <f t="shared" si="15"/>
        <v>-953.366190000001</v>
      </c>
      <c r="U23" s="19">
        <f t="shared" si="16"/>
        <v>4</v>
      </c>
      <c r="V23" s="19">
        <f t="shared" si="17"/>
        <v>-3.66394804114891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704</v>
      </c>
      <c r="AJ23" s="47">
        <v>24873.098294</v>
      </c>
      <c r="AK23" s="47">
        <v>704</v>
      </c>
      <c r="AL23" s="47">
        <v>24873.098294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480</v>
      </c>
      <c r="D24" s="12">
        <v>15529.13</v>
      </c>
      <c r="E24" s="12">
        <f t="shared" si="1"/>
        <v>0</v>
      </c>
      <c r="F24" s="12">
        <f t="shared" si="2"/>
        <v>10</v>
      </c>
      <c r="G24" s="12">
        <f t="shared" si="3"/>
        <v>9</v>
      </c>
      <c r="H24" s="12">
        <f t="shared" si="4"/>
        <v>940.73</v>
      </c>
      <c r="I24" s="12">
        <f t="shared" si="5"/>
        <v>9</v>
      </c>
      <c r="J24" s="12">
        <f t="shared" si="6"/>
        <v>940.73</v>
      </c>
      <c r="K24" s="12">
        <f t="shared" si="18"/>
        <v>-42</v>
      </c>
      <c r="L24" s="12">
        <f t="shared" si="7"/>
        <v>122.74</v>
      </c>
      <c r="M24" s="19">
        <f t="shared" si="8"/>
        <v>1.91082802547771</v>
      </c>
      <c r="N24" s="19">
        <f t="shared" si="9"/>
        <v>6.44847961393984</v>
      </c>
      <c r="O24" s="12">
        <f t="shared" si="10"/>
        <v>480</v>
      </c>
      <c r="P24" s="12">
        <f t="shared" si="11"/>
        <v>15529.13</v>
      </c>
      <c r="Q24" s="12">
        <f t="shared" si="12"/>
        <v>9</v>
      </c>
      <c r="R24" s="12">
        <f t="shared" si="13"/>
        <v>940.73</v>
      </c>
      <c r="S24" s="30">
        <f t="shared" si="14"/>
        <v>9</v>
      </c>
      <c r="T24" s="12">
        <f t="shared" si="15"/>
        <v>940.73</v>
      </c>
      <c r="U24" s="19">
        <f t="shared" si="16"/>
        <v>1.91082802547771</v>
      </c>
      <c r="V24" s="19">
        <f t="shared" si="17"/>
        <v>6.44847961393984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480</v>
      </c>
      <c r="AJ24" s="47">
        <v>15519.13</v>
      </c>
      <c r="AK24" s="47">
        <v>480</v>
      </c>
      <c r="AL24" s="47">
        <v>15519.13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494</v>
      </c>
      <c r="D25" s="12">
        <v>15986.917225</v>
      </c>
      <c r="E25" s="12">
        <f t="shared" si="1"/>
        <v>-1</v>
      </c>
      <c r="F25" s="12">
        <f t="shared" si="2"/>
        <v>-222.954874000001</v>
      </c>
      <c r="G25" s="12">
        <f t="shared" si="3"/>
        <v>12</v>
      </c>
      <c r="H25" s="12">
        <f t="shared" si="4"/>
        <v>-139.959791000001</v>
      </c>
      <c r="I25" s="12">
        <f t="shared" si="5"/>
        <v>12</v>
      </c>
      <c r="J25" s="12">
        <f t="shared" si="6"/>
        <v>-139.959791000001</v>
      </c>
      <c r="K25" s="12">
        <f t="shared" si="18"/>
        <v>-13</v>
      </c>
      <c r="L25" s="12">
        <f t="shared" si="7"/>
        <v>-1021.139791</v>
      </c>
      <c r="M25" s="19">
        <f t="shared" si="8"/>
        <v>2.4896265560166</v>
      </c>
      <c r="N25" s="19">
        <f t="shared" si="9"/>
        <v>-0.867866672891115</v>
      </c>
      <c r="O25" s="12">
        <f t="shared" si="10"/>
        <v>495</v>
      </c>
      <c r="P25" s="12">
        <f t="shared" si="11"/>
        <v>15991.917225</v>
      </c>
      <c r="Q25" s="12">
        <f t="shared" si="12"/>
        <v>13</v>
      </c>
      <c r="R25" s="12">
        <f t="shared" si="13"/>
        <v>-134.959791000001</v>
      </c>
      <c r="S25" s="12">
        <f t="shared" si="14"/>
        <v>13</v>
      </c>
      <c r="T25" s="12">
        <f t="shared" si="15"/>
        <v>-134.959791000001</v>
      </c>
      <c r="U25" s="19">
        <f t="shared" si="16"/>
        <v>2.69709543568465</v>
      </c>
      <c r="V25" s="19">
        <f t="shared" si="17"/>
        <v>-0.836862529962268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495</v>
      </c>
      <c r="AJ25" s="47">
        <v>16209.872099</v>
      </c>
      <c r="AK25" s="47">
        <v>496</v>
      </c>
      <c r="AL25" s="47">
        <v>16214.872099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270</v>
      </c>
      <c r="D26" s="12">
        <v>10571.460385</v>
      </c>
      <c r="E26" s="12">
        <f t="shared" si="1"/>
        <v>2</v>
      </c>
      <c r="F26" s="12">
        <f t="shared" si="2"/>
        <v>260.1747</v>
      </c>
      <c r="G26" s="12">
        <f t="shared" si="3"/>
        <v>-7</v>
      </c>
      <c r="H26" s="12">
        <f t="shared" si="4"/>
        <v>-250.965169999999</v>
      </c>
      <c r="I26" s="12">
        <f t="shared" si="5"/>
        <v>-7</v>
      </c>
      <c r="J26" s="12">
        <f t="shared" si="6"/>
        <v>-250.965169999999</v>
      </c>
      <c r="K26" s="12">
        <f t="shared" si="18"/>
        <v>-27</v>
      </c>
      <c r="L26" s="12">
        <f t="shared" si="7"/>
        <v>-954.975169999999</v>
      </c>
      <c r="M26" s="19">
        <f t="shared" si="8"/>
        <v>-2.52707581227437</v>
      </c>
      <c r="N26" s="19">
        <f t="shared" si="9"/>
        <v>-2.31893644104627</v>
      </c>
      <c r="O26" s="12">
        <f t="shared" si="10"/>
        <v>270</v>
      </c>
      <c r="P26" s="12">
        <f t="shared" si="11"/>
        <v>10571.460385</v>
      </c>
      <c r="Q26" s="12">
        <f t="shared" si="12"/>
        <v>-7</v>
      </c>
      <c r="R26" s="12">
        <f t="shared" si="13"/>
        <v>-250.965169999999</v>
      </c>
      <c r="S26" s="12">
        <f t="shared" si="14"/>
        <v>-7</v>
      </c>
      <c r="T26" s="12">
        <f t="shared" si="15"/>
        <v>-250.965169999999</v>
      </c>
      <c r="U26" s="19">
        <f t="shared" si="16"/>
        <v>-2.52707581227437</v>
      </c>
      <c r="V26" s="19">
        <f t="shared" si="17"/>
        <v>-2.31893644104627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10311.285685</v>
      </c>
      <c r="AK26" s="47">
        <v>268</v>
      </c>
      <c r="AL26" s="47">
        <v>10311.285685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343</v>
      </c>
      <c r="D27" s="12">
        <v>11092.435435</v>
      </c>
      <c r="E27" s="12">
        <f t="shared" si="1"/>
        <v>1</v>
      </c>
      <c r="F27" s="12">
        <f t="shared" si="2"/>
        <v>9.5</v>
      </c>
      <c r="G27" s="12">
        <f t="shared" si="3"/>
        <v>15</v>
      </c>
      <c r="H27" s="12">
        <f t="shared" si="4"/>
        <v>-326.029525</v>
      </c>
      <c r="I27" s="12">
        <f t="shared" si="5"/>
        <v>15</v>
      </c>
      <c r="J27" s="12">
        <f t="shared" si="6"/>
        <v>-326.029525</v>
      </c>
      <c r="K27" s="12">
        <f t="shared" si="18"/>
        <v>-17</v>
      </c>
      <c r="L27" s="12">
        <f t="shared" si="7"/>
        <v>-950.299525</v>
      </c>
      <c r="M27" s="19">
        <f t="shared" si="8"/>
        <v>4.57317073170732</v>
      </c>
      <c r="N27" s="19">
        <f t="shared" si="9"/>
        <v>-2.85528331647129</v>
      </c>
      <c r="O27" s="12">
        <f t="shared" si="10"/>
        <v>344</v>
      </c>
      <c r="P27" s="12">
        <f t="shared" si="11"/>
        <v>11096.393635</v>
      </c>
      <c r="Q27" s="12">
        <f t="shared" si="12"/>
        <v>16</v>
      </c>
      <c r="R27" s="12">
        <f t="shared" si="13"/>
        <v>-322.071325000001</v>
      </c>
      <c r="S27" s="12">
        <f t="shared" si="14"/>
        <v>16</v>
      </c>
      <c r="T27" s="12">
        <f t="shared" si="15"/>
        <v>-322.071325000001</v>
      </c>
      <c r="U27" s="19">
        <f t="shared" si="16"/>
        <v>4.8780487804878</v>
      </c>
      <c r="V27" s="19">
        <f t="shared" si="17"/>
        <v>-2.8206184117414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342</v>
      </c>
      <c r="AJ27" s="47">
        <v>11082.935435</v>
      </c>
      <c r="AK27" s="47">
        <v>343</v>
      </c>
      <c r="AL27" s="47">
        <v>11086.893635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373</v>
      </c>
      <c r="D28" s="12">
        <v>20021.305807</v>
      </c>
      <c r="E28" s="12">
        <f t="shared" si="1"/>
        <v>1</v>
      </c>
      <c r="F28" s="12">
        <f t="shared" si="2"/>
        <v>-26.4932210000006</v>
      </c>
      <c r="G28" s="12">
        <f t="shared" si="3"/>
        <v>11</v>
      </c>
      <c r="H28" s="12">
        <f t="shared" si="4"/>
        <v>-30.5052329999999</v>
      </c>
      <c r="I28" s="12">
        <f t="shared" si="5"/>
        <v>11</v>
      </c>
      <c r="J28" s="12">
        <f t="shared" si="6"/>
        <v>-30.5052329999999</v>
      </c>
      <c r="K28" s="12">
        <f t="shared" si="18"/>
        <v>-29</v>
      </c>
      <c r="L28" s="12">
        <f t="shared" si="7"/>
        <v>-911.235233</v>
      </c>
      <c r="M28" s="19">
        <f t="shared" si="8"/>
        <v>3.03867403314917</v>
      </c>
      <c r="N28" s="19">
        <f t="shared" si="9"/>
        <v>-0.152132058990318</v>
      </c>
      <c r="O28" s="12">
        <f t="shared" si="10"/>
        <v>373</v>
      </c>
      <c r="P28" s="12">
        <f t="shared" si="11"/>
        <v>20021.305807</v>
      </c>
      <c r="Q28" s="12">
        <f t="shared" si="12"/>
        <v>11</v>
      </c>
      <c r="R28" s="12">
        <f t="shared" si="13"/>
        <v>-30.5052329999999</v>
      </c>
      <c r="S28" s="12">
        <f t="shared" si="14"/>
        <v>11</v>
      </c>
      <c r="T28" s="12">
        <f t="shared" si="15"/>
        <v>-30.5052329999999</v>
      </c>
      <c r="U28" s="19">
        <f t="shared" si="16"/>
        <v>3.03867403314917</v>
      </c>
      <c r="V28" s="19">
        <f t="shared" si="17"/>
        <v>-0.152132058990318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372</v>
      </c>
      <c r="AJ28" s="47">
        <v>20047.799028</v>
      </c>
      <c r="AK28" s="47">
        <v>372</v>
      </c>
      <c r="AL28" s="47">
        <v>20047.799028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327</v>
      </c>
      <c r="D29" s="12">
        <v>11782.389954</v>
      </c>
      <c r="E29" s="12">
        <f t="shared" si="1"/>
        <v>-1</v>
      </c>
      <c r="F29" s="12">
        <f t="shared" si="2"/>
        <v>-22.7999999999993</v>
      </c>
      <c r="G29" s="12">
        <f t="shared" si="3"/>
        <v>-1</v>
      </c>
      <c r="H29" s="12">
        <f t="shared" si="4"/>
        <v>-212.272654</v>
      </c>
      <c r="I29" s="12">
        <f t="shared" si="5"/>
        <v>-1</v>
      </c>
      <c r="J29" s="12">
        <f t="shared" si="6"/>
        <v>-212.272654</v>
      </c>
      <c r="K29" s="12">
        <f t="shared" si="18"/>
        <v>-36</v>
      </c>
      <c r="L29" s="12">
        <f t="shared" si="7"/>
        <v>-759.982654000001</v>
      </c>
      <c r="M29" s="19">
        <f t="shared" si="8"/>
        <v>-0.304878048780488</v>
      </c>
      <c r="N29" s="19">
        <f t="shared" si="9"/>
        <v>-1.76972592675031</v>
      </c>
      <c r="O29" s="12">
        <f t="shared" si="10"/>
        <v>328</v>
      </c>
      <c r="P29" s="12">
        <f t="shared" si="11"/>
        <v>12282.389954</v>
      </c>
      <c r="Q29" s="12">
        <f t="shared" si="12"/>
        <v>0</v>
      </c>
      <c r="R29" s="12">
        <f t="shared" si="13"/>
        <v>287.727346</v>
      </c>
      <c r="S29" s="12">
        <f t="shared" si="14"/>
        <v>0</v>
      </c>
      <c r="T29" s="12">
        <f t="shared" si="15"/>
        <v>287.727346</v>
      </c>
      <c r="U29" s="19">
        <f t="shared" si="16"/>
        <v>0</v>
      </c>
      <c r="V29" s="19">
        <f t="shared" si="17"/>
        <v>2.39879482569269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328</v>
      </c>
      <c r="AJ29" s="47">
        <v>11805.189954</v>
      </c>
      <c r="AK29" s="47">
        <v>329</v>
      </c>
      <c r="AL29" s="47">
        <v>12305.189954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360</v>
      </c>
      <c r="D30" s="12">
        <v>9911.23522500001</v>
      </c>
      <c r="E30" s="12">
        <f t="shared" si="1"/>
        <v>1</v>
      </c>
      <c r="F30" s="12">
        <f t="shared" si="2"/>
        <v>-54.75</v>
      </c>
      <c r="G30" s="12">
        <f t="shared" si="3"/>
        <v>37</v>
      </c>
      <c r="H30" s="12">
        <f t="shared" si="4"/>
        <v>791.99707500001</v>
      </c>
      <c r="I30" s="12">
        <f t="shared" si="5"/>
        <v>37</v>
      </c>
      <c r="J30" s="12">
        <f t="shared" si="6"/>
        <v>791.99707500001</v>
      </c>
      <c r="K30" s="12">
        <f t="shared" si="18"/>
        <v>-58</v>
      </c>
      <c r="L30" s="12">
        <f t="shared" si="7"/>
        <v>-228.14292499999</v>
      </c>
      <c r="M30" s="19">
        <f t="shared" si="8"/>
        <v>11.4551083591331</v>
      </c>
      <c r="N30" s="19">
        <f t="shared" si="9"/>
        <v>8.68490395768434</v>
      </c>
      <c r="O30" s="12">
        <f t="shared" si="10"/>
        <v>362</v>
      </c>
      <c r="P30" s="12">
        <f t="shared" si="11"/>
        <v>9945.83522500001</v>
      </c>
      <c r="Q30" s="12">
        <f t="shared" si="12"/>
        <v>39</v>
      </c>
      <c r="R30" s="12">
        <f t="shared" si="13"/>
        <v>826.597075000011</v>
      </c>
      <c r="S30" s="12">
        <f t="shared" si="14"/>
        <v>39</v>
      </c>
      <c r="T30" s="12">
        <f t="shared" si="15"/>
        <v>826.597075000011</v>
      </c>
      <c r="U30" s="19">
        <f t="shared" si="16"/>
        <v>12.0743034055728</v>
      </c>
      <c r="V30" s="19">
        <f t="shared" si="17"/>
        <v>9.06432161770017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359</v>
      </c>
      <c r="AJ30" s="47">
        <v>9965.98522500001</v>
      </c>
      <c r="AK30" s="47">
        <v>361</v>
      </c>
      <c r="AL30" s="47">
        <v>10000.585225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361</v>
      </c>
      <c r="D31" s="12">
        <v>10140.034994</v>
      </c>
      <c r="E31" s="12">
        <f t="shared" si="1"/>
        <v>0</v>
      </c>
      <c r="F31" s="12">
        <f t="shared" si="2"/>
        <v>-241.768435</v>
      </c>
      <c r="G31" s="12">
        <f t="shared" si="3"/>
        <v>-4</v>
      </c>
      <c r="H31" s="12">
        <f t="shared" si="4"/>
        <v>-941.474741</v>
      </c>
      <c r="I31" s="12">
        <f t="shared" si="5"/>
        <v>-4</v>
      </c>
      <c r="J31" s="12">
        <f t="shared" si="6"/>
        <v>-941.474741</v>
      </c>
      <c r="K31" s="12">
        <f t="shared" si="18"/>
        <v>-52</v>
      </c>
      <c r="L31" s="12">
        <f t="shared" si="7"/>
        <v>-1451.444741</v>
      </c>
      <c r="M31" s="19">
        <f t="shared" si="8"/>
        <v>-1.0958904109589</v>
      </c>
      <c r="N31" s="19">
        <f t="shared" si="9"/>
        <v>-8.49590681697849</v>
      </c>
      <c r="O31" s="12">
        <f t="shared" si="10"/>
        <v>363</v>
      </c>
      <c r="P31" s="12">
        <f t="shared" si="11"/>
        <v>10157.807694</v>
      </c>
      <c r="Q31" s="12">
        <f t="shared" si="12"/>
        <v>-2</v>
      </c>
      <c r="R31" s="12">
        <f t="shared" si="13"/>
        <v>-923.702041</v>
      </c>
      <c r="S31" s="12">
        <f t="shared" si="14"/>
        <v>-2</v>
      </c>
      <c r="T31" s="12">
        <f t="shared" si="15"/>
        <v>-923.702041</v>
      </c>
      <c r="U31" s="19">
        <f t="shared" si="16"/>
        <v>-0.547945205479452</v>
      </c>
      <c r="V31" s="19">
        <f t="shared" si="17"/>
        <v>-8.33552524059575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361</v>
      </c>
      <c r="AJ31" s="47">
        <v>10381.803429</v>
      </c>
      <c r="AK31" s="47">
        <v>363</v>
      </c>
      <c r="AL31" s="47">
        <v>10399.576129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522</v>
      </c>
      <c r="D32" s="12">
        <v>13142.325222</v>
      </c>
      <c r="E32" s="12">
        <f t="shared" si="1"/>
        <v>3</v>
      </c>
      <c r="F32" s="12">
        <f t="shared" si="2"/>
        <v>65.0954499999989</v>
      </c>
      <c r="G32" s="12">
        <f t="shared" si="3"/>
        <v>22</v>
      </c>
      <c r="H32" s="12">
        <f t="shared" si="4"/>
        <v>691.65972</v>
      </c>
      <c r="I32" s="12">
        <f t="shared" si="5"/>
        <v>22</v>
      </c>
      <c r="J32" s="12">
        <f t="shared" si="6"/>
        <v>691.65972</v>
      </c>
      <c r="K32" s="12">
        <f t="shared" si="18"/>
        <v>-38</v>
      </c>
      <c r="L32" s="12">
        <f t="shared" si="7"/>
        <v>339.769720000001</v>
      </c>
      <c r="M32" s="19">
        <f t="shared" si="8"/>
        <v>4.4</v>
      </c>
      <c r="N32" s="19">
        <f t="shared" si="9"/>
        <v>5.55520281135892</v>
      </c>
      <c r="O32" s="12">
        <f t="shared" si="10"/>
        <v>522</v>
      </c>
      <c r="P32" s="12">
        <f t="shared" si="11"/>
        <v>13142.325222</v>
      </c>
      <c r="Q32" s="12">
        <f t="shared" si="12"/>
        <v>22</v>
      </c>
      <c r="R32" s="12">
        <f t="shared" si="13"/>
        <v>691.65972</v>
      </c>
      <c r="S32" s="30">
        <f t="shared" si="14"/>
        <v>22</v>
      </c>
      <c r="T32" s="12">
        <f t="shared" si="15"/>
        <v>691.65972</v>
      </c>
      <c r="U32" s="19">
        <f t="shared" si="16"/>
        <v>4.4</v>
      </c>
      <c r="V32" s="19">
        <f t="shared" si="17"/>
        <v>5.55520281135892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519</v>
      </c>
      <c r="AJ32" s="47">
        <v>13077.229772</v>
      </c>
      <c r="AK32" s="47">
        <v>519</v>
      </c>
      <c r="AL32" s="47">
        <v>13077.229772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2128</v>
      </c>
      <c r="D33" s="12">
        <v>97202.3468669999</v>
      </c>
      <c r="E33" s="12">
        <f t="shared" si="1"/>
        <v>-1</v>
      </c>
      <c r="F33" s="12">
        <f t="shared" si="2"/>
        <v>-42.4890230000019</v>
      </c>
      <c r="G33" s="12">
        <f t="shared" si="3"/>
        <v>-12</v>
      </c>
      <c r="H33" s="12">
        <f t="shared" si="4"/>
        <v>-1524.48297700001</v>
      </c>
      <c r="I33" s="12">
        <f t="shared" si="5"/>
        <v>-12</v>
      </c>
      <c r="J33" s="12">
        <f t="shared" si="6"/>
        <v>-1524.48297700001</v>
      </c>
      <c r="K33" s="12">
        <f t="shared" si="18"/>
        <v>-43</v>
      </c>
      <c r="L33" s="12">
        <f t="shared" si="7"/>
        <v>-183.562977000007</v>
      </c>
      <c r="M33" s="19">
        <f t="shared" si="8"/>
        <v>-0.560747663551402</v>
      </c>
      <c r="N33" s="19">
        <f t="shared" si="9"/>
        <v>-1.5441425389723</v>
      </c>
      <c r="O33" s="12">
        <f t="shared" si="10"/>
        <v>2133</v>
      </c>
      <c r="P33" s="12">
        <f t="shared" si="11"/>
        <v>97332.6482669999</v>
      </c>
      <c r="Q33" s="12">
        <f t="shared" si="12"/>
        <v>-7</v>
      </c>
      <c r="R33" s="12">
        <f t="shared" si="13"/>
        <v>-1394.18157700001</v>
      </c>
      <c r="S33" s="30">
        <f t="shared" si="14"/>
        <v>-7</v>
      </c>
      <c r="T33" s="12">
        <f t="shared" si="15"/>
        <v>-1394.18157700001</v>
      </c>
      <c r="U33" s="19">
        <f t="shared" si="16"/>
        <v>-0.327102803738318</v>
      </c>
      <c r="V33" s="19">
        <f t="shared" si="17"/>
        <v>-1.41216078669089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2129</v>
      </c>
      <c r="AJ33" s="47">
        <v>97244.8358899999</v>
      </c>
      <c r="AK33" s="47">
        <v>2134</v>
      </c>
      <c r="AL33" s="47">
        <v>97375.1372899999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621</v>
      </c>
      <c r="D34" s="12">
        <v>28005.478348</v>
      </c>
      <c r="E34" s="12">
        <f t="shared" si="1"/>
        <v>1</v>
      </c>
      <c r="F34" s="12">
        <f t="shared" si="2"/>
        <v>270.5481</v>
      </c>
      <c r="G34" s="12">
        <f t="shared" si="3"/>
        <v>12</v>
      </c>
      <c r="H34" s="12">
        <f t="shared" si="4"/>
        <v>724.774538000001</v>
      </c>
      <c r="I34" s="12">
        <f t="shared" si="5"/>
        <v>12</v>
      </c>
      <c r="J34" s="12">
        <f t="shared" si="6"/>
        <v>724.774538000001</v>
      </c>
      <c r="K34" s="12">
        <f t="shared" si="18"/>
        <v>-20</v>
      </c>
      <c r="L34" s="12">
        <f t="shared" si="7"/>
        <v>-530.745461999998</v>
      </c>
      <c r="M34" s="19">
        <f t="shared" si="8"/>
        <v>1.97044334975369</v>
      </c>
      <c r="N34" s="19">
        <f t="shared" si="9"/>
        <v>2.65672961756334</v>
      </c>
      <c r="O34" s="12">
        <f t="shared" si="10"/>
        <v>621</v>
      </c>
      <c r="P34" s="12">
        <f t="shared" si="11"/>
        <v>28005.478348</v>
      </c>
      <c r="Q34" s="12">
        <f t="shared" si="12"/>
        <v>12</v>
      </c>
      <c r="R34" s="12">
        <f t="shared" si="13"/>
        <v>724.774538000001</v>
      </c>
      <c r="S34" s="12">
        <f t="shared" si="14"/>
        <v>12</v>
      </c>
      <c r="T34" s="12">
        <f t="shared" si="15"/>
        <v>724.774538000001</v>
      </c>
      <c r="U34" s="19">
        <f t="shared" si="16"/>
        <v>1.97044334975369</v>
      </c>
      <c r="V34" s="19">
        <f t="shared" si="17"/>
        <v>2.65672961756334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620</v>
      </c>
      <c r="AJ34" s="47">
        <v>27734.930248</v>
      </c>
      <c r="AK34" s="47">
        <v>620</v>
      </c>
      <c r="AL34" s="47">
        <v>27734.930248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2484</v>
      </c>
      <c r="D35" s="12">
        <v>97135</v>
      </c>
      <c r="E35" s="12">
        <f t="shared" si="1"/>
        <v>-3</v>
      </c>
      <c r="F35" s="12">
        <f t="shared" si="2"/>
        <v>-303</v>
      </c>
      <c r="G35" s="12">
        <f t="shared" si="3"/>
        <v>-37</v>
      </c>
      <c r="H35" s="12">
        <f t="shared" si="4"/>
        <v>-269</v>
      </c>
      <c r="I35" s="12">
        <f t="shared" si="5"/>
        <v>-37</v>
      </c>
      <c r="J35" s="12">
        <f t="shared" si="6"/>
        <v>-269</v>
      </c>
      <c r="K35" s="12">
        <f t="shared" si="18"/>
        <v>-160</v>
      </c>
      <c r="L35" s="12">
        <f t="shared" si="7"/>
        <v>-5583</v>
      </c>
      <c r="M35" s="19">
        <f t="shared" si="8"/>
        <v>-1.4676715589052</v>
      </c>
      <c r="N35" s="19">
        <f t="shared" si="9"/>
        <v>-0.2761693564946</v>
      </c>
      <c r="O35" s="12">
        <f t="shared" si="10"/>
        <v>2489</v>
      </c>
      <c r="P35" s="12">
        <f t="shared" si="11"/>
        <v>97293.284</v>
      </c>
      <c r="Q35" s="12">
        <f t="shared" si="12"/>
        <v>-32</v>
      </c>
      <c r="R35" s="12">
        <f t="shared" si="13"/>
        <v>-110.716</v>
      </c>
      <c r="S35" s="12">
        <f t="shared" si="14"/>
        <v>-32</v>
      </c>
      <c r="T35" s="12">
        <f t="shared" si="15"/>
        <v>-110.716</v>
      </c>
      <c r="U35" s="19">
        <f t="shared" si="16"/>
        <v>-1.26933756445855</v>
      </c>
      <c r="V35" s="19">
        <f t="shared" si="17"/>
        <v>-0.113666789864893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2487</v>
      </c>
      <c r="AJ35" s="47">
        <v>97438</v>
      </c>
      <c r="AK35" s="47">
        <v>2492</v>
      </c>
      <c r="AL35" s="47">
        <v>97596.284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2531</v>
      </c>
      <c r="D36" s="12">
        <v>83962</v>
      </c>
      <c r="E36" s="12">
        <f t="shared" si="1"/>
        <v>0</v>
      </c>
      <c r="F36" s="12">
        <f t="shared" si="2"/>
        <v>-11</v>
      </c>
      <c r="G36" s="12">
        <f t="shared" si="3"/>
        <v>-12</v>
      </c>
      <c r="H36" s="12">
        <f t="shared" si="4"/>
        <v>-603</v>
      </c>
      <c r="I36" s="12">
        <f t="shared" si="5"/>
        <v>-12</v>
      </c>
      <c r="J36" s="12">
        <f t="shared" si="6"/>
        <v>-603</v>
      </c>
      <c r="K36" s="12">
        <f t="shared" si="18"/>
        <v>-15</v>
      </c>
      <c r="L36" s="12">
        <f t="shared" si="7"/>
        <v>-609</v>
      </c>
      <c r="M36" s="19">
        <f t="shared" si="8"/>
        <v>-0.471883602044829</v>
      </c>
      <c r="N36" s="19">
        <f t="shared" si="9"/>
        <v>-0.713060959025602</v>
      </c>
      <c r="O36" s="12">
        <f t="shared" si="10"/>
        <v>2531</v>
      </c>
      <c r="P36" s="12">
        <f t="shared" si="11"/>
        <v>83962</v>
      </c>
      <c r="Q36" s="12">
        <f t="shared" si="12"/>
        <v>-12</v>
      </c>
      <c r="R36" s="12">
        <f t="shared" si="13"/>
        <v>-603</v>
      </c>
      <c r="S36" s="12">
        <f t="shared" si="14"/>
        <v>-12</v>
      </c>
      <c r="T36" s="12">
        <f t="shared" si="15"/>
        <v>-603</v>
      </c>
      <c r="U36" s="19">
        <f t="shared" si="16"/>
        <v>-0.471883602044829</v>
      </c>
      <c r="V36" s="19">
        <f t="shared" si="17"/>
        <v>-0.713060959025602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2531</v>
      </c>
      <c r="AJ36" s="47">
        <v>83973</v>
      </c>
      <c r="AK36" s="47">
        <v>2531</v>
      </c>
      <c r="AL36" s="47">
        <v>83973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307</v>
      </c>
      <c r="D37" s="12">
        <v>13450.498856</v>
      </c>
      <c r="E37" s="12">
        <f t="shared" si="1"/>
        <v>1</v>
      </c>
      <c r="F37" s="12">
        <f t="shared" si="2"/>
        <v>2.65999999999985</v>
      </c>
      <c r="G37" s="12">
        <f t="shared" si="3"/>
        <v>14</v>
      </c>
      <c r="H37" s="12">
        <f t="shared" si="4"/>
        <v>-202.68</v>
      </c>
      <c r="I37" s="12">
        <f t="shared" si="5"/>
        <v>14</v>
      </c>
      <c r="J37" s="12">
        <f t="shared" si="6"/>
        <v>-202.68</v>
      </c>
      <c r="K37" s="12">
        <f t="shared" si="18"/>
        <v>-30</v>
      </c>
      <c r="L37" s="12">
        <f t="shared" si="7"/>
        <v>-1208.29</v>
      </c>
      <c r="M37" s="19">
        <f t="shared" si="8"/>
        <v>4.77815699658703</v>
      </c>
      <c r="N37" s="19">
        <f t="shared" si="9"/>
        <v>-1.48448945214638</v>
      </c>
      <c r="O37" s="12">
        <f t="shared" si="10"/>
        <v>307</v>
      </c>
      <c r="P37" s="12">
        <f t="shared" si="11"/>
        <v>13450.498856</v>
      </c>
      <c r="Q37" s="12">
        <f t="shared" si="12"/>
        <v>14</v>
      </c>
      <c r="R37" s="12">
        <f t="shared" si="13"/>
        <v>-202.68</v>
      </c>
      <c r="S37" s="12">
        <f t="shared" si="14"/>
        <v>14</v>
      </c>
      <c r="T37" s="12">
        <f t="shared" si="15"/>
        <v>-202.68</v>
      </c>
      <c r="U37" s="19">
        <f t="shared" si="16"/>
        <v>4.77815699658703</v>
      </c>
      <c r="V37" s="19">
        <f t="shared" si="17"/>
        <v>-1.48448945214638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306</v>
      </c>
      <c r="AJ37" s="47">
        <v>13447.838856</v>
      </c>
      <c r="AK37" s="47">
        <v>306</v>
      </c>
      <c r="AL37" s="47">
        <v>13447.838856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439</v>
      </c>
      <c r="D38" s="12">
        <v>19045.664196</v>
      </c>
      <c r="E38" s="12">
        <f t="shared" si="1"/>
        <v>0</v>
      </c>
      <c r="F38" s="12">
        <f t="shared" si="2"/>
        <v>-112.409356</v>
      </c>
      <c r="G38" s="12">
        <f t="shared" si="3"/>
        <v>-5</v>
      </c>
      <c r="H38" s="12">
        <f t="shared" si="4"/>
        <v>-683.060905999999</v>
      </c>
      <c r="I38" s="12">
        <f t="shared" si="5"/>
        <v>-5</v>
      </c>
      <c r="J38" s="12">
        <f t="shared" si="6"/>
        <v>-683.060905999999</v>
      </c>
      <c r="K38" s="12">
        <f t="shared" si="18"/>
        <v>-45</v>
      </c>
      <c r="L38" s="12">
        <f t="shared" si="7"/>
        <v>-1702.060906</v>
      </c>
      <c r="M38" s="19">
        <f t="shared" si="8"/>
        <v>-1.12612612612613</v>
      </c>
      <c r="N38" s="19">
        <f t="shared" si="9"/>
        <v>-3.46226582036339</v>
      </c>
      <c r="O38" s="12">
        <f t="shared" si="10"/>
        <v>439</v>
      </c>
      <c r="P38" s="12">
        <f t="shared" si="11"/>
        <v>19045.664196</v>
      </c>
      <c r="Q38" s="12">
        <f t="shared" si="12"/>
        <v>-5</v>
      </c>
      <c r="R38" s="12">
        <f t="shared" si="13"/>
        <v>-683.060905999999</v>
      </c>
      <c r="S38" s="12">
        <f t="shared" si="14"/>
        <v>-5</v>
      </c>
      <c r="T38" s="12">
        <f t="shared" si="15"/>
        <v>-683.060905999999</v>
      </c>
      <c r="U38" s="19">
        <f t="shared" si="16"/>
        <v>-1.12612612612613</v>
      </c>
      <c r="V38" s="19">
        <f t="shared" si="17"/>
        <v>-3.46226582036339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439</v>
      </c>
      <c r="AJ38" s="47">
        <v>19158.073552</v>
      </c>
      <c r="AK38" s="47">
        <v>439</v>
      </c>
      <c r="AL38" s="47">
        <v>19158.073552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424</v>
      </c>
      <c r="D39" s="12">
        <v>18825.252443</v>
      </c>
      <c r="E39" s="12">
        <f t="shared" si="1"/>
        <v>2</v>
      </c>
      <c r="F39" s="12">
        <f t="shared" si="2"/>
        <v>104.770500000002</v>
      </c>
      <c r="G39" s="12">
        <f t="shared" si="3"/>
        <v>20</v>
      </c>
      <c r="H39" s="12">
        <f t="shared" si="4"/>
        <v>1266.81396</v>
      </c>
      <c r="I39" s="12">
        <f t="shared" si="5"/>
        <v>20</v>
      </c>
      <c r="J39" s="12">
        <f t="shared" si="6"/>
        <v>1266.81396</v>
      </c>
      <c r="K39" s="12">
        <f t="shared" si="18"/>
        <v>2</v>
      </c>
      <c r="L39" s="12">
        <f t="shared" si="7"/>
        <v>265.63396</v>
      </c>
      <c r="M39" s="19">
        <f t="shared" si="8"/>
        <v>4.95049504950495</v>
      </c>
      <c r="N39" s="19">
        <f t="shared" si="9"/>
        <v>7.21484408323965</v>
      </c>
      <c r="O39" s="12">
        <f t="shared" si="10"/>
        <v>424</v>
      </c>
      <c r="P39" s="12">
        <f t="shared" si="11"/>
        <v>18825.252443</v>
      </c>
      <c r="Q39" s="12">
        <f t="shared" si="12"/>
        <v>20</v>
      </c>
      <c r="R39" s="12">
        <f t="shared" si="13"/>
        <v>1266.81396</v>
      </c>
      <c r="S39" s="12">
        <f t="shared" si="14"/>
        <v>20</v>
      </c>
      <c r="T39" s="12">
        <f t="shared" si="15"/>
        <v>1266.81396</v>
      </c>
      <c r="U39" s="19">
        <f t="shared" si="16"/>
        <v>4.95049504950495</v>
      </c>
      <c r="V39" s="19">
        <f t="shared" si="17"/>
        <v>7.21484408323965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422</v>
      </c>
      <c r="AJ39" s="47">
        <v>18720.481943</v>
      </c>
      <c r="AK39" s="47">
        <v>422</v>
      </c>
      <c r="AL39" s="47">
        <v>18720.481943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337</v>
      </c>
      <c r="D40" s="12">
        <v>433495.884804</v>
      </c>
      <c r="E40" s="12">
        <f t="shared" si="1"/>
        <v>0</v>
      </c>
      <c r="F40" s="12">
        <f t="shared" si="2"/>
        <v>0</v>
      </c>
      <c r="G40" s="12">
        <f t="shared" si="3"/>
        <v>13</v>
      </c>
      <c r="H40" s="12">
        <f t="shared" si="4"/>
        <v>14864.91</v>
      </c>
      <c r="I40" s="12">
        <f t="shared" si="5"/>
        <v>13</v>
      </c>
      <c r="J40" s="12">
        <f t="shared" si="6"/>
        <v>14864.91</v>
      </c>
      <c r="K40" s="12">
        <f t="shared" si="18"/>
        <v>2</v>
      </c>
      <c r="L40" s="12">
        <f t="shared" si="7"/>
        <v>5641.93999999994</v>
      </c>
      <c r="M40" s="19">
        <f t="shared" si="8"/>
        <v>4.01234567901235</v>
      </c>
      <c r="N40" s="19">
        <f t="shared" si="9"/>
        <v>3.55083854150057</v>
      </c>
      <c r="O40" s="12">
        <f t="shared" si="10"/>
        <v>336</v>
      </c>
      <c r="P40" s="12">
        <f t="shared" si="11"/>
        <v>432995.884804</v>
      </c>
      <c r="Q40" s="12">
        <f t="shared" si="12"/>
        <v>12</v>
      </c>
      <c r="R40" s="12">
        <f t="shared" si="13"/>
        <v>14364.91</v>
      </c>
      <c r="S40" s="12">
        <f t="shared" si="14"/>
        <v>12</v>
      </c>
      <c r="T40" s="12">
        <f t="shared" si="15"/>
        <v>14364.91</v>
      </c>
      <c r="U40" s="19">
        <f t="shared" si="16"/>
        <v>3.7037037037037</v>
      </c>
      <c r="V40" s="19">
        <f t="shared" si="17"/>
        <v>3.4314016077586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337</v>
      </c>
      <c r="AJ40" s="47">
        <v>433495.884804</v>
      </c>
      <c r="AK40" s="47">
        <v>336</v>
      </c>
      <c r="AL40" s="47">
        <v>432995.884804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385</v>
      </c>
      <c r="D41" s="12">
        <v>18338.352183</v>
      </c>
      <c r="E41" s="12">
        <f t="shared" si="1"/>
        <v>0</v>
      </c>
      <c r="F41" s="12">
        <f t="shared" si="2"/>
        <v>0</v>
      </c>
      <c r="G41" s="12">
        <f t="shared" si="3"/>
        <v>33</v>
      </c>
      <c r="H41" s="12">
        <f t="shared" si="4"/>
        <v>732.526067999999</v>
      </c>
      <c r="I41" s="12">
        <f t="shared" si="5"/>
        <v>33</v>
      </c>
      <c r="J41" s="12">
        <f t="shared" si="6"/>
        <v>732.526067999999</v>
      </c>
      <c r="K41" s="12">
        <f t="shared" si="18"/>
        <v>-1</v>
      </c>
      <c r="L41" s="12">
        <f t="shared" si="7"/>
        <v>-188.233932000003</v>
      </c>
      <c r="M41" s="19">
        <f t="shared" si="8"/>
        <v>9.375</v>
      </c>
      <c r="N41" s="19">
        <f t="shared" si="9"/>
        <v>4.16070261750395</v>
      </c>
      <c r="O41" s="12">
        <f>C41+W41+AA41-AC41+Y41</f>
        <v>350</v>
      </c>
      <c r="P41" s="12">
        <f>D41+X41+AB41-AD41+Z41</f>
        <v>17502.484683</v>
      </c>
      <c r="Q41" s="12">
        <f t="shared" si="12"/>
        <v>-2</v>
      </c>
      <c r="R41" s="12">
        <f t="shared" si="13"/>
        <v>-103.341432000001</v>
      </c>
      <c r="S41" s="12">
        <f t="shared" si="14"/>
        <v>-2</v>
      </c>
      <c r="T41" s="12">
        <f t="shared" si="15"/>
        <v>-103.341432000001</v>
      </c>
      <c r="U41" s="19">
        <f t="shared" si="16"/>
        <v>-0.568181818181818</v>
      </c>
      <c r="V41" s="19">
        <f t="shared" si="17"/>
        <v>-0.586972922059903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385</v>
      </c>
      <c r="AJ41" s="47">
        <v>18338.352183</v>
      </c>
      <c r="AK41" s="47">
        <v>350</v>
      </c>
      <c r="AL41" s="47">
        <v>17502.484683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1762066</v>
      </c>
      <c r="E42" s="16"/>
      <c r="F42" s="12">
        <v>-9132</v>
      </c>
      <c r="G42" s="16"/>
      <c r="H42" s="12">
        <v>24124</v>
      </c>
      <c r="I42" s="16"/>
      <c r="J42" s="12">
        <v>24124</v>
      </c>
      <c r="K42" s="12"/>
      <c r="L42" s="12"/>
      <c r="M42" s="20"/>
      <c r="N42" s="19">
        <v>1.39</v>
      </c>
      <c r="O42" s="12" t="s">
        <v>65</v>
      </c>
      <c r="P42" s="12">
        <v>348979</v>
      </c>
      <c r="Q42" s="16"/>
      <c r="R42" s="12">
        <v>4479</v>
      </c>
      <c r="S42" s="16"/>
      <c r="T42" s="12">
        <v>4479</v>
      </c>
      <c r="U42" s="16"/>
      <c r="V42" s="19">
        <v>1.3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2026-01-23T01:02:33Z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