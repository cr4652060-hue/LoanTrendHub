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<sst xmlns="http://schemas.openxmlformats.org/spreadsheetml/2006/main" count="139" uniqueCount="66">
  <si>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</si>
  <si>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2026.01.08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</si>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</sst>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C29" sqref="C29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24886</v>
      </c>
      <c r="D6" s="12">
        <f>SUM(D7:D41)</f>
        <v>1398267.240335</v>
      </c>
      <c r="E6" s="12">
        <f>C6-AI6</f>
        <v>-17</v>
      </c>
      <c r="F6" s="12">
        <f>D6-AJ6</f>
        <v>256.648160000099</v>
      </c>
      <c r="G6" s="12">
        <f>C6-AM6</f>
        <v>295</v>
      </c>
      <c r="H6" s="12">
        <f>D6-AN6</f>
        <v>4825.69434800022</v>
      </c>
      <c r="I6" s="12">
        <f>C6-AE6</f>
        <v>295</v>
      </c>
      <c r="J6" s="12">
        <f>D6-AF6</f>
        <v>4825.69434800022</v>
      </c>
      <c r="K6" s="12">
        <f>I6-AS6</f>
        <v>-1237</v>
      </c>
      <c r="L6" s="12">
        <f>J6-AT6</f>
        <v>-39024.7956519996</v>
      </c>
      <c r="M6" s="19">
        <f>I6/AE6*100</f>
        <v>1.19962587938677</v>
      </c>
      <c r="N6" s="19">
        <f>J6/AF6*100</f>
        <v>0.346314803222126</v>
      </c>
      <c r="O6" s="12">
        <f>C6+Y6</f>
        <v>24886</v>
      </c>
      <c r="P6" s="12">
        <f>D6+Z6</f>
        <v>1398267.240335</v>
      </c>
      <c r="Q6" s="12">
        <f>O6-AO6</f>
        <v>295</v>
      </c>
      <c r="R6" s="12">
        <f>P6-AP6</f>
        <v>4825.69434800022</v>
      </c>
      <c r="S6" s="30">
        <f>O6-AG6</f>
        <v>295</v>
      </c>
      <c r="T6" s="12">
        <f>P6-AH6</f>
        <v>4825.69434800022</v>
      </c>
      <c r="U6" s="19">
        <f>S6/AG6*100</f>
        <v>1.19962587938677</v>
      </c>
      <c r="V6" s="19">
        <f>T6/AH6*100</f>
        <v>0.346314803222126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24903</v>
      </c>
      <c r="AJ6" s="47">
        <v>1398010.592175</v>
      </c>
      <c r="AK6" s="47">
        <v>24903</v>
      </c>
      <c r="AL6" s="48">
        <v>1398010.592175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1647</v>
      </c>
      <c r="D7" s="12">
        <v>81131.846988</v>
      </c>
      <c r="E7" s="12">
        <f>C7-AI7</f>
        <v>-2</v>
      </c>
      <c r="F7" s="12">
        <f>D7-AJ7</f>
        <v>9.91868899999827</v>
      </c>
      <c r="G7" s="12">
        <f>C7-AM7</f>
        <v>-10</v>
      </c>
      <c r="H7" s="12">
        <f>D7-AN7</f>
        <v>-1278.068908</v>
      </c>
      <c r="I7" s="12">
        <f>C7-AE7</f>
        <v>-10</v>
      </c>
      <c r="J7" s="12">
        <f>D7-AF7</f>
        <v>-1278.068908</v>
      </c>
      <c r="K7" s="12">
        <f t="shared" ref="K6:K12" si="0">I7-AS7</f>
        <v>-41</v>
      </c>
      <c r="L7" s="12">
        <f>J7-AT7</f>
        <v>-2785.60890800001</v>
      </c>
      <c r="M7" s="19">
        <f>I7/AE7*100</f>
        <v>-0.603500301750151</v>
      </c>
      <c r="N7" s="19">
        <f>J7/AF7*100</f>
        <v>-1.55086787081897</v>
      </c>
      <c r="O7" s="12">
        <f>C7+W7+AA7-AC7</f>
        <v>1647</v>
      </c>
      <c r="P7" s="12">
        <f>D7+X7+AB7-AD7</f>
        <v>81131.846988</v>
      </c>
      <c r="Q7" s="12">
        <f>O7-AO7</f>
        <v>-10</v>
      </c>
      <c r="R7" s="12">
        <f>P7-AP7</f>
        <v>-1278.068908</v>
      </c>
      <c r="S7" s="12">
        <f>O7-AG7</f>
        <v>-10</v>
      </c>
      <c r="T7" s="12">
        <f>P7-AH7</f>
        <v>-1278.068908</v>
      </c>
      <c r="U7" s="19">
        <f>S7/AG7*100</f>
        <v>-0.603500301750151</v>
      </c>
      <c r="V7" s="19">
        <f>T7/AH7*100</f>
        <v>-1.55086787081897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1649</v>
      </c>
      <c r="AJ7" s="47">
        <v>81121.928299</v>
      </c>
      <c r="AK7" s="47">
        <v>1649</v>
      </c>
      <c r="AL7" s="47">
        <v>81121.928299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1921</v>
      </c>
      <c r="D8" s="12">
        <v>121802.475781</v>
      </c>
      <c r="E8" s="12">
        <f>C8-AI8</f>
        <v>-2</v>
      </c>
      <c r="F8" s="12">
        <f>D8-AJ8</f>
        <v>-492.573499999999</v>
      </c>
      <c r="G8" s="12">
        <f>C8-AM8</f>
        <v>-4</v>
      </c>
      <c r="H8" s="12">
        <f>D8-AN8</f>
        <v>-1425.893815</v>
      </c>
      <c r="I8" s="12">
        <f>C8-AE8</f>
        <v>-4</v>
      </c>
      <c r="J8" s="12">
        <f>D8-AF8</f>
        <v>-1425.893815</v>
      </c>
      <c r="K8" s="12">
        <f t="shared" si="0"/>
        <v>-4</v>
      </c>
      <c r="L8" s="12">
        <f>J8-AT8</f>
        <v>-312.043814999993</v>
      </c>
      <c r="M8" s="19">
        <f>I8/AE8*100</f>
        <v>-0.207792207792208</v>
      </c>
      <c r="N8" s="19">
        <f>J8/AF8*100</f>
        <v>-1.15711489137992</v>
      </c>
      <c r="O8" s="12">
        <f>C8+W8+AA8-AC8</f>
        <v>1921</v>
      </c>
      <c r="P8" s="12">
        <f>D8+X8+AB8-AD8</f>
        <v>121802.475781</v>
      </c>
      <c r="Q8" s="12">
        <f>O8-AO8</f>
        <v>-4</v>
      </c>
      <c r="R8" s="12">
        <f>P8-AP8</f>
        <v>-1425.893815</v>
      </c>
      <c r="S8" s="30">
        <f>O8-AG8</f>
        <v>-4</v>
      </c>
      <c r="T8" s="12">
        <f>P8-AH8</f>
        <v>-1425.893815</v>
      </c>
      <c r="U8" s="19">
        <f>S8/AG8*100</f>
        <v>-0.207792207792208</v>
      </c>
      <c r="V8" s="19">
        <f>T8/AH8*100</f>
        <v>-1.15711489137992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1923</v>
      </c>
      <c r="AJ8" s="47">
        <v>122295.049281</v>
      </c>
      <c r="AK8" s="47">
        <v>1923</v>
      </c>
      <c r="AL8" s="47">
        <v>122295.049281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759</v>
      </c>
      <c r="D9" s="12">
        <v>23407.658927</v>
      </c>
      <c r="E9" s="12">
        <f t="shared" ref="E9:E41" si="1">C9-AI9</f>
        <v>0</v>
      </c>
      <c r="F9" s="12">
        <f t="shared" ref="F9:F41" si="2">D9-AJ9</f>
        <v>91</v>
      </c>
      <c r="G9" s="12">
        <f t="shared" ref="G9:G41" si="3">C9-AM9</f>
        <v>46</v>
      </c>
      <c r="H9" s="12">
        <f t="shared" ref="H9:H41" si="4">D9-AN9</f>
        <v>289.363690999999</v>
      </c>
      <c r="I9" s="12">
        <f t="shared" ref="I9:I41" si="5">C9-AE9</f>
        <v>46</v>
      </c>
      <c r="J9" s="12">
        <f t="shared" ref="J9:J41" si="6">D9-AF9</f>
        <v>289.363690999999</v>
      </c>
      <c r="K9" s="12">
        <f t="shared" si="0"/>
        <v>-55</v>
      </c>
      <c r="L9" s="12">
        <f t="shared" ref="L9:L41" si="7">J9-AT9</f>
        <v>-963.716309000001</v>
      </c>
      <c r="M9" s="19">
        <f t="shared" ref="M9:M41" si="8">I9/AE9*100</f>
        <v>6.45161290322581</v>
      </c>
      <c r="N9" s="19">
        <f t="shared" ref="N9:N41" si="9">J9/AF9*100</f>
        <v>1.25166535008775</v>
      </c>
      <c r="O9" s="12">
        <f t="shared" ref="O9:O40" si="10">C9+W9+AA9-AC9</f>
        <v>759</v>
      </c>
      <c r="P9" s="12">
        <f t="shared" ref="P9:P40" si="11">D9+X9+AB9-AD9</f>
        <v>23407.658927</v>
      </c>
      <c r="Q9" s="12">
        <f t="shared" ref="Q9:Q41" si="12">O9-AO9</f>
        <v>46</v>
      </c>
      <c r="R9" s="12">
        <f t="shared" ref="R9:R41" si="13">P9-AP9</f>
        <v>289.363690999999</v>
      </c>
      <c r="S9" s="12">
        <f t="shared" ref="S9:S41" si="14">O9-AG9</f>
        <v>46</v>
      </c>
      <c r="T9" s="12">
        <f t="shared" ref="T9:T41" si="15">P9-AH9</f>
        <v>289.363690999999</v>
      </c>
      <c r="U9" s="19">
        <f t="shared" ref="U9:U41" si="16">S9/AG9*100</f>
        <v>6.45161290322581</v>
      </c>
      <c r="V9" s="19">
        <f t="shared" ref="V9:V41" si="17">T9/AH9*100</f>
        <v>1.25166535008775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759</v>
      </c>
      <c r="AJ9" s="47">
        <v>23316.658927</v>
      </c>
      <c r="AK9" s="47">
        <v>759</v>
      </c>
      <c r="AL9" s="47">
        <v>23316.658927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921</v>
      </c>
      <c r="D10" s="12">
        <v>27831.863341</v>
      </c>
      <c r="E10" s="12">
        <f t="shared" si="1"/>
        <v>-4</v>
      </c>
      <c r="F10" s="12">
        <f t="shared" si="2"/>
        <v>-38.1171480000012</v>
      </c>
      <c r="G10" s="12">
        <f t="shared" si="3"/>
        <v>30</v>
      </c>
      <c r="H10" s="12">
        <f t="shared" si="4"/>
        <v>-43.8377340000006</v>
      </c>
      <c r="I10" s="12">
        <f t="shared" si="5"/>
        <v>30</v>
      </c>
      <c r="J10" s="12">
        <f t="shared" si="6"/>
        <v>-43.8377340000006</v>
      </c>
      <c r="K10" s="12">
        <f t="shared" si="0"/>
        <v>12</v>
      </c>
      <c r="L10" s="12">
        <f t="shared" si="7"/>
        <v>-1754.607734</v>
      </c>
      <c r="M10" s="19">
        <f t="shared" si="8"/>
        <v>3.36700336700337</v>
      </c>
      <c r="N10" s="19">
        <f t="shared" si="9"/>
        <v>-0.157261458221462</v>
      </c>
      <c r="O10" s="12">
        <f t="shared" si="10"/>
        <v>921</v>
      </c>
      <c r="P10" s="12">
        <f t="shared" si="11"/>
        <v>27831.863341</v>
      </c>
      <c r="Q10" s="12">
        <f t="shared" si="12"/>
        <v>30</v>
      </c>
      <c r="R10" s="12">
        <f t="shared" si="13"/>
        <v>-43.8377340000006</v>
      </c>
      <c r="S10" s="12">
        <f t="shared" si="14"/>
        <v>30</v>
      </c>
      <c r="T10" s="12">
        <f t="shared" si="15"/>
        <v>-43.8377340000006</v>
      </c>
      <c r="U10" s="19">
        <f t="shared" si="16"/>
        <v>3.36700336700337</v>
      </c>
      <c r="V10" s="19">
        <f t="shared" si="17"/>
        <v>-0.157261458221462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925</v>
      </c>
      <c r="AJ10" s="47">
        <v>27869.980489</v>
      </c>
      <c r="AK10" s="47">
        <v>925</v>
      </c>
      <c r="AL10" s="47">
        <v>27869.980489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515</v>
      </c>
      <c r="D11" s="12">
        <v>12580.148425</v>
      </c>
      <c r="E11" s="12">
        <f t="shared" si="1"/>
        <v>0</v>
      </c>
      <c r="F11" s="12">
        <f t="shared" si="2"/>
        <v>9.89999999999964</v>
      </c>
      <c r="G11" s="12">
        <f t="shared" si="3"/>
        <v>24</v>
      </c>
      <c r="H11" s="12">
        <f t="shared" si="4"/>
        <v>438.676610999999</v>
      </c>
      <c r="I11" s="12">
        <f t="shared" si="5"/>
        <v>24</v>
      </c>
      <c r="J11" s="12">
        <f t="shared" si="6"/>
        <v>438.676610999999</v>
      </c>
      <c r="K11" s="12">
        <f t="shared" si="0"/>
        <v>-15</v>
      </c>
      <c r="L11" s="12">
        <f t="shared" si="7"/>
        <v>-497.983389000001</v>
      </c>
      <c r="M11" s="19">
        <f t="shared" si="8"/>
        <v>4.88798370672098</v>
      </c>
      <c r="N11" s="19">
        <f t="shared" si="9"/>
        <v>3.613043111414</v>
      </c>
      <c r="O11" s="12">
        <f t="shared" si="10"/>
        <v>515</v>
      </c>
      <c r="P11" s="12">
        <f t="shared" si="11"/>
        <v>12580.148425</v>
      </c>
      <c r="Q11" s="12">
        <f t="shared" si="12"/>
        <v>24</v>
      </c>
      <c r="R11" s="12">
        <f t="shared" si="13"/>
        <v>438.676610999999</v>
      </c>
      <c r="S11" s="12">
        <f t="shared" si="14"/>
        <v>24</v>
      </c>
      <c r="T11" s="12">
        <f t="shared" si="15"/>
        <v>438.676610999999</v>
      </c>
      <c r="U11" s="19">
        <f t="shared" si="16"/>
        <v>4.88798370672098</v>
      </c>
      <c r="V11" s="19">
        <f t="shared" si="17"/>
        <v>3.613043111414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515</v>
      </c>
      <c r="AJ11" s="47">
        <v>12570.248425</v>
      </c>
      <c r="AK11" s="47">
        <v>515</v>
      </c>
      <c r="AL11" s="47">
        <v>12570.248425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393</v>
      </c>
      <c r="D12" s="12">
        <v>14193.3716</v>
      </c>
      <c r="E12" s="12">
        <f t="shared" si="1"/>
        <v>0</v>
      </c>
      <c r="F12" s="12">
        <f t="shared" si="2"/>
        <v>74.7600000000002</v>
      </c>
      <c r="G12" s="12">
        <f t="shared" si="3"/>
        <v>35</v>
      </c>
      <c r="H12" s="12">
        <f t="shared" si="4"/>
        <v>818.125263</v>
      </c>
      <c r="I12" s="12">
        <f t="shared" si="5"/>
        <v>35</v>
      </c>
      <c r="J12" s="12">
        <f t="shared" si="6"/>
        <v>818.125263</v>
      </c>
      <c r="K12" s="12">
        <f t="shared" si="0"/>
        <v>-38</v>
      </c>
      <c r="L12" s="12">
        <f t="shared" si="7"/>
        <v>-675.874737</v>
      </c>
      <c r="M12" s="19">
        <f t="shared" si="8"/>
        <v>9.77653631284916</v>
      </c>
      <c r="N12" s="19">
        <f t="shared" si="9"/>
        <v>6.11671174037981</v>
      </c>
      <c r="O12" s="12">
        <f t="shared" si="10"/>
        <v>393</v>
      </c>
      <c r="P12" s="12">
        <f t="shared" si="11"/>
        <v>14193.3716</v>
      </c>
      <c r="Q12" s="12">
        <f t="shared" si="12"/>
        <v>35</v>
      </c>
      <c r="R12" s="12">
        <f t="shared" si="13"/>
        <v>818.125263</v>
      </c>
      <c r="S12" s="30">
        <f t="shared" si="14"/>
        <v>35</v>
      </c>
      <c r="T12" s="12">
        <f t="shared" si="15"/>
        <v>818.125263</v>
      </c>
      <c r="U12" s="19">
        <f t="shared" si="16"/>
        <v>9.77653631284916</v>
      </c>
      <c r="V12" s="19">
        <f t="shared" si="17"/>
        <v>6.11671174037981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393</v>
      </c>
      <c r="AJ12" s="47">
        <v>14118.6116</v>
      </c>
      <c r="AK12" s="47">
        <v>393</v>
      </c>
      <c r="AL12" s="47">
        <v>14118.6116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459</v>
      </c>
      <c r="D13" s="12">
        <v>12197.819215</v>
      </c>
      <c r="E13" s="12">
        <f t="shared" si="1"/>
        <v>0</v>
      </c>
      <c r="F13" s="12">
        <f t="shared" si="2"/>
        <v>29.0100000000002</v>
      </c>
      <c r="G13" s="12">
        <f t="shared" si="3"/>
        <v>-10</v>
      </c>
      <c r="H13" s="12">
        <f t="shared" si="4"/>
        <v>160.529599</v>
      </c>
      <c r="I13" s="12">
        <f t="shared" si="5"/>
        <v>-10</v>
      </c>
      <c r="J13" s="12">
        <f t="shared" si="6"/>
        <v>160.529599</v>
      </c>
      <c r="K13" s="12">
        <f t="shared" ref="K9:K41" si="18">I13-AS13</f>
        <v>-13</v>
      </c>
      <c r="L13" s="12">
        <f t="shared" si="7"/>
        <v>-405.940401000002</v>
      </c>
      <c r="M13" s="19">
        <f t="shared" si="8"/>
        <v>-2.13219616204691</v>
      </c>
      <c r="N13" s="19">
        <f t="shared" si="9"/>
        <v>1.33360253114308</v>
      </c>
      <c r="O13" s="12">
        <f t="shared" si="10"/>
        <v>459</v>
      </c>
      <c r="P13" s="12">
        <f t="shared" si="11"/>
        <v>12197.819215</v>
      </c>
      <c r="Q13" s="12">
        <f t="shared" si="12"/>
        <v>-10</v>
      </c>
      <c r="R13" s="12">
        <f t="shared" si="13"/>
        <v>160.529599</v>
      </c>
      <c r="S13" s="12">
        <f t="shared" si="14"/>
        <v>-10</v>
      </c>
      <c r="T13" s="12">
        <f t="shared" si="15"/>
        <v>160.529599</v>
      </c>
      <c r="U13" s="19">
        <f t="shared" si="16"/>
        <v>-2.13219616204691</v>
      </c>
      <c r="V13" s="19">
        <f t="shared" si="17"/>
        <v>1.33360253114308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459</v>
      </c>
      <c r="AJ13" s="47">
        <v>12168.809215</v>
      </c>
      <c r="AK13" s="47">
        <v>459</v>
      </c>
      <c r="AL13" s="47">
        <v>12168.809215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349</v>
      </c>
      <c r="D14" s="12">
        <v>11007.641048</v>
      </c>
      <c r="E14" s="12">
        <f t="shared" si="1"/>
        <v>-1</v>
      </c>
      <c r="F14" s="12">
        <f t="shared" si="2"/>
        <v>-20.3000000000011</v>
      </c>
      <c r="G14" s="12">
        <f t="shared" si="3"/>
        <v>1</v>
      </c>
      <c r="H14" s="12">
        <f t="shared" si="4"/>
        <v>427.949999999999</v>
      </c>
      <c r="I14" s="12">
        <f t="shared" si="5"/>
        <v>1</v>
      </c>
      <c r="J14" s="12">
        <f t="shared" si="6"/>
        <v>427.949999999999</v>
      </c>
      <c r="K14" s="12">
        <f t="shared" si="18"/>
        <v>-75</v>
      </c>
      <c r="L14" s="12">
        <f t="shared" si="7"/>
        <v>-489.35</v>
      </c>
      <c r="M14" s="19">
        <f t="shared" si="8"/>
        <v>0.28735632183908</v>
      </c>
      <c r="N14" s="19">
        <f t="shared" si="9"/>
        <v>4.04501415077616</v>
      </c>
      <c r="O14" s="12">
        <f t="shared" si="10"/>
        <v>349</v>
      </c>
      <c r="P14" s="12">
        <f t="shared" si="11"/>
        <v>11007.641048</v>
      </c>
      <c r="Q14" s="12">
        <f t="shared" si="12"/>
        <v>1</v>
      </c>
      <c r="R14" s="12">
        <f t="shared" si="13"/>
        <v>427.949999999999</v>
      </c>
      <c r="S14" s="12">
        <f t="shared" si="14"/>
        <v>1</v>
      </c>
      <c r="T14" s="12">
        <f t="shared" si="15"/>
        <v>427.949999999999</v>
      </c>
      <c r="U14" s="19">
        <f t="shared" si="16"/>
        <v>0.28735632183908</v>
      </c>
      <c r="V14" s="19">
        <f t="shared" si="17"/>
        <v>4.04501415077616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350</v>
      </c>
      <c r="AJ14" s="47">
        <v>11027.941048</v>
      </c>
      <c r="AK14" s="47">
        <v>350</v>
      </c>
      <c r="AL14" s="47">
        <v>11027.941048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675</v>
      </c>
      <c r="D15" s="12">
        <v>17751.646045</v>
      </c>
      <c r="E15" s="12">
        <f t="shared" si="1"/>
        <v>0</v>
      </c>
      <c r="F15" s="12">
        <f t="shared" si="2"/>
        <v>-11.9496650000001</v>
      </c>
      <c r="G15" s="12">
        <f t="shared" si="3"/>
        <v>21</v>
      </c>
      <c r="H15" s="12">
        <f t="shared" si="4"/>
        <v>210.309299</v>
      </c>
      <c r="I15" s="12">
        <f t="shared" si="5"/>
        <v>21</v>
      </c>
      <c r="J15" s="12">
        <f t="shared" si="6"/>
        <v>210.309299</v>
      </c>
      <c r="K15" s="12">
        <f t="shared" si="18"/>
        <v>-89</v>
      </c>
      <c r="L15" s="12">
        <f t="shared" si="7"/>
        <v>-1249.540701</v>
      </c>
      <c r="M15" s="19">
        <f t="shared" si="8"/>
        <v>3.21100917431193</v>
      </c>
      <c r="N15" s="19">
        <f t="shared" si="9"/>
        <v>1.19893541778085</v>
      </c>
      <c r="O15" s="12">
        <f t="shared" si="10"/>
        <v>675</v>
      </c>
      <c r="P15" s="12">
        <f t="shared" si="11"/>
        <v>17751.646045</v>
      </c>
      <c r="Q15" s="12">
        <f t="shared" si="12"/>
        <v>21</v>
      </c>
      <c r="R15" s="12">
        <f t="shared" si="13"/>
        <v>210.309299</v>
      </c>
      <c r="S15" s="12">
        <f t="shared" si="14"/>
        <v>21</v>
      </c>
      <c r="T15" s="12">
        <f t="shared" si="15"/>
        <v>210.309299</v>
      </c>
      <c r="U15" s="19">
        <f t="shared" si="16"/>
        <v>3.21100917431193</v>
      </c>
      <c r="V15" s="19">
        <f t="shared" si="17"/>
        <v>1.19893541778085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675</v>
      </c>
      <c r="AJ15" s="47">
        <v>17763.59571</v>
      </c>
      <c r="AK15" s="47">
        <v>675</v>
      </c>
      <c r="AL15" s="47">
        <v>17763.59571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698</v>
      </c>
      <c r="D16" s="12">
        <v>23290.966292</v>
      </c>
      <c r="E16" s="12">
        <f t="shared" si="1"/>
        <v>1</v>
      </c>
      <c r="F16" s="12">
        <f t="shared" si="2"/>
        <v>34.2000000000007</v>
      </c>
      <c r="G16" s="12">
        <f t="shared" si="3"/>
        <v>-5</v>
      </c>
      <c r="H16" s="12">
        <f t="shared" si="4"/>
        <v>390.239329</v>
      </c>
      <c r="I16" s="12">
        <f t="shared" si="5"/>
        <v>-5</v>
      </c>
      <c r="J16" s="12">
        <f t="shared" si="6"/>
        <v>390.239329</v>
      </c>
      <c r="K16" s="12">
        <f t="shared" si="18"/>
        <v>-68</v>
      </c>
      <c r="L16" s="12">
        <f t="shared" si="7"/>
        <v>-397.720670999999</v>
      </c>
      <c r="M16" s="19">
        <f t="shared" si="8"/>
        <v>-0.711237553342816</v>
      </c>
      <c r="N16" s="19">
        <f t="shared" si="9"/>
        <v>1.7040477781797</v>
      </c>
      <c r="O16" s="12">
        <f t="shared" si="10"/>
        <v>698</v>
      </c>
      <c r="P16" s="12">
        <f t="shared" si="11"/>
        <v>23290.966292</v>
      </c>
      <c r="Q16" s="12">
        <f t="shared" si="12"/>
        <v>-5</v>
      </c>
      <c r="R16" s="12">
        <f t="shared" si="13"/>
        <v>390.239329</v>
      </c>
      <c r="S16" s="12">
        <f t="shared" si="14"/>
        <v>-5</v>
      </c>
      <c r="T16" s="12">
        <f t="shared" si="15"/>
        <v>390.239329</v>
      </c>
      <c r="U16" s="19">
        <f t="shared" si="16"/>
        <v>-0.711237553342816</v>
      </c>
      <c r="V16" s="19">
        <f t="shared" si="17"/>
        <v>1.7040477781797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697</v>
      </c>
      <c r="AJ16" s="47">
        <v>23256.766292</v>
      </c>
      <c r="AK16" s="47">
        <v>697</v>
      </c>
      <c r="AL16" s="47">
        <v>23256.766292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593</v>
      </c>
      <c r="D17" s="12">
        <v>18233.857284</v>
      </c>
      <c r="E17" s="12">
        <f t="shared" si="1"/>
        <v>1</v>
      </c>
      <c r="F17" s="12">
        <f t="shared" si="2"/>
        <v>17</v>
      </c>
      <c r="G17" s="12">
        <f t="shared" si="3"/>
        <v>-6</v>
      </c>
      <c r="H17" s="12">
        <f t="shared" si="4"/>
        <v>-196.163592999997</v>
      </c>
      <c r="I17" s="12">
        <f t="shared" si="5"/>
        <v>-6</v>
      </c>
      <c r="J17" s="12">
        <f t="shared" si="6"/>
        <v>-196.163592999997</v>
      </c>
      <c r="K17" s="12">
        <f t="shared" si="18"/>
        <v>-14</v>
      </c>
      <c r="L17" s="12">
        <f t="shared" si="7"/>
        <v>-925.873592999997</v>
      </c>
      <c r="M17" s="19">
        <f t="shared" si="8"/>
        <v>-1.0016694490818</v>
      </c>
      <c r="N17" s="19">
        <f t="shared" si="9"/>
        <v>-1.06436989034995</v>
      </c>
      <c r="O17" s="12">
        <f t="shared" si="10"/>
        <v>593</v>
      </c>
      <c r="P17" s="12">
        <f t="shared" si="11"/>
        <v>18233.857284</v>
      </c>
      <c r="Q17" s="12">
        <f t="shared" si="12"/>
        <v>-6</v>
      </c>
      <c r="R17" s="12">
        <f t="shared" si="13"/>
        <v>-196.163592999997</v>
      </c>
      <c r="S17" s="30">
        <f t="shared" si="14"/>
        <v>-6</v>
      </c>
      <c r="T17" s="12">
        <f t="shared" si="15"/>
        <v>-196.163592999997</v>
      </c>
      <c r="U17" s="19">
        <f t="shared" si="16"/>
        <v>-1.0016694490818</v>
      </c>
      <c r="V17" s="19">
        <f t="shared" si="17"/>
        <v>-1.06436989034995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592</v>
      </c>
      <c r="AJ17" s="47">
        <v>18216.857284</v>
      </c>
      <c r="AK17" s="47">
        <v>592</v>
      </c>
      <c r="AL17" s="47">
        <v>18216.857284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480</v>
      </c>
      <c r="D18" s="12">
        <v>18823.676601</v>
      </c>
      <c r="E18" s="12">
        <f t="shared" si="1"/>
        <v>1</v>
      </c>
      <c r="F18" s="12">
        <f t="shared" si="2"/>
        <v>103.899999999998</v>
      </c>
      <c r="G18" s="12">
        <f t="shared" si="3"/>
        <v>-2</v>
      </c>
      <c r="H18" s="12">
        <f t="shared" si="4"/>
        <v>-733.786799000001</v>
      </c>
      <c r="I18" s="12">
        <f t="shared" si="5"/>
        <v>-2</v>
      </c>
      <c r="J18" s="12">
        <f t="shared" si="6"/>
        <v>-733.786799000001</v>
      </c>
      <c r="K18" s="12">
        <f t="shared" si="18"/>
        <v>-13</v>
      </c>
      <c r="L18" s="12">
        <f t="shared" si="7"/>
        <v>-2045.256799</v>
      </c>
      <c r="M18" s="19">
        <f t="shared" si="8"/>
        <v>-0.4149377593361</v>
      </c>
      <c r="N18" s="19">
        <f t="shared" si="9"/>
        <v>-3.75195281715318</v>
      </c>
      <c r="O18" s="12">
        <f t="shared" si="10"/>
        <v>480</v>
      </c>
      <c r="P18" s="12">
        <f t="shared" si="11"/>
        <v>18823.676601</v>
      </c>
      <c r="Q18" s="12">
        <f t="shared" si="12"/>
        <v>-2</v>
      </c>
      <c r="R18" s="12">
        <f t="shared" si="13"/>
        <v>-733.786799000001</v>
      </c>
      <c r="S18" s="12">
        <f t="shared" si="14"/>
        <v>-2</v>
      </c>
      <c r="T18" s="12">
        <f t="shared" si="15"/>
        <v>-733.786799000001</v>
      </c>
      <c r="U18" s="19">
        <f t="shared" si="16"/>
        <v>-0.4149377593361</v>
      </c>
      <c r="V18" s="19">
        <f t="shared" si="17"/>
        <v>-3.75195281715318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479</v>
      </c>
      <c r="AJ18" s="47">
        <v>18719.776601</v>
      </c>
      <c r="AK18" s="47">
        <v>479</v>
      </c>
      <c r="AL18" s="47">
        <v>18719.776601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432</v>
      </c>
      <c r="D19" s="12">
        <v>14925.945372</v>
      </c>
      <c r="E19" s="12">
        <f t="shared" si="1"/>
        <v>0</v>
      </c>
      <c r="F19" s="12">
        <f t="shared" si="2"/>
        <v>-81</v>
      </c>
      <c r="G19" s="12">
        <f t="shared" si="3"/>
        <v>0</v>
      </c>
      <c r="H19" s="12">
        <f t="shared" si="4"/>
        <v>295.599</v>
      </c>
      <c r="I19" s="12">
        <f t="shared" si="5"/>
        <v>0</v>
      </c>
      <c r="J19" s="12">
        <f t="shared" si="6"/>
        <v>295.599</v>
      </c>
      <c r="K19" s="12">
        <f t="shared" si="18"/>
        <v>-32</v>
      </c>
      <c r="L19" s="12">
        <f t="shared" si="7"/>
        <v>-507.381</v>
      </c>
      <c r="M19" s="19">
        <f t="shared" si="8"/>
        <v>0</v>
      </c>
      <c r="N19" s="19">
        <f t="shared" si="9"/>
        <v>2.02045113959658</v>
      </c>
      <c r="O19" s="12">
        <f t="shared" si="10"/>
        <v>432</v>
      </c>
      <c r="P19" s="12">
        <f t="shared" si="11"/>
        <v>14925.945372</v>
      </c>
      <c r="Q19" s="12">
        <f t="shared" si="12"/>
        <v>0</v>
      </c>
      <c r="R19" s="12">
        <f t="shared" si="13"/>
        <v>295.599</v>
      </c>
      <c r="S19" s="12">
        <f t="shared" si="14"/>
        <v>0</v>
      </c>
      <c r="T19" s="12">
        <f t="shared" si="15"/>
        <v>295.599</v>
      </c>
      <c r="U19" s="19">
        <f t="shared" si="16"/>
        <v>0</v>
      </c>
      <c r="V19" s="19">
        <f t="shared" si="17"/>
        <v>2.02045113959658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432</v>
      </c>
      <c r="AJ19" s="47">
        <v>15006.945372</v>
      </c>
      <c r="AK19" s="47">
        <v>432</v>
      </c>
      <c r="AL19" s="47">
        <v>15006.945372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641</v>
      </c>
      <c r="D20" s="12">
        <v>19071.657604</v>
      </c>
      <c r="E20" s="12">
        <f t="shared" si="1"/>
        <v>1</v>
      </c>
      <c r="F20" s="12">
        <f t="shared" si="2"/>
        <v>7.59999999999854</v>
      </c>
      <c r="G20" s="12">
        <f t="shared" si="3"/>
        <v>30</v>
      </c>
      <c r="H20" s="12">
        <f t="shared" si="4"/>
        <v>1052.94</v>
      </c>
      <c r="I20" s="12">
        <f t="shared" si="5"/>
        <v>30</v>
      </c>
      <c r="J20" s="12">
        <f t="shared" si="6"/>
        <v>1052.94</v>
      </c>
      <c r="K20" s="12">
        <f t="shared" si="18"/>
        <v>-51</v>
      </c>
      <c r="L20" s="12">
        <f t="shared" si="7"/>
        <v>-1163.71</v>
      </c>
      <c r="M20" s="19">
        <f t="shared" si="8"/>
        <v>4.90998363338789</v>
      </c>
      <c r="N20" s="19">
        <f t="shared" si="9"/>
        <v>5.8435901107982</v>
      </c>
      <c r="O20" s="12">
        <f t="shared" si="10"/>
        <v>641</v>
      </c>
      <c r="P20" s="12">
        <f t="shared" si="11"/>
        <v>19071.657604</v>
      </c>
      <c r="Q20" s="12">
        <f t="shared" si="12"/>
        <v>30</v>
      </c>
      <c r="R20" s="12">
        <f t="shared" si="13"/>
        <v>1052.94</v>
      </c>
      <c r="S20" s="12">
        <f t="shared" si="14"/>
        <v>30</v>
      </c>
      <c r="T20" s="12">
        <f t="shared" si="15"/>
        <v>1052.94</v>
      </c>
      <c r="U20" s="19">
        <f t="shared" si="16"/>
        <v>4.90998363338789</v>
      </c>
      <c r="V20" s="19">
        <f t="shared" si="17"/>
        <v>5.8435901107982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640</v>
      </c>
      <c r="AJ20" s="47">
        <v>19064.057604</v>
      </c>
      <c r="AK20" s="47">
        <v>640</v>
      </c>
      <c r="AL20" s="47">
        <v>19064.057604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444</v>
      </c>
      <c r="D21" s="12">
        <v>15118.895663</v>
      </c>
      <c r="E21" s="12">
        <f t="shared" si="1"/>
        <v>0</v>
      </c>
      <c r="F21" s="12">
        <f t="shared" si="2"/>
        <v>45.5999999999985</v>
      </c>
      <c r="G21" s="12">
        <f t="shared" si="3"/>
        <v>6</v>
      </c>
      <c r="H21" s="12">
        <f t="shared" si="4"/>
        <v>-305.56861</v>
      </c>
      <c r="I21" s="12">
        <f t="shared" si="5"/>
        <v>6</v>
      </c>
      <c r="J21" s="12">
        <f t="shared" si="6"/>
        <v>-305.56861</v>
      </c>
      <c r="K21" s="12">
        <f t="shared" si="18"/>
        <v>-51</v>
      </c>
      <c r="L21" s="12">
        <f t="shared" si="7"/>
        <v>-1315.46861</v>
      </c>
      <c r="M21" s="19">
        <f t="shared" si="8"/>
        <v>1.36986301369863</v>
      </c>
      <c r="N21" s="19">
        <f t="shared" si="9"/>
        <v>-1.98106465541813</v>
      </c>
      <c r="O21" s="12">
        <f t="shared" si="10"/>
        <v>444</v>
      </c>
      <c r="P21" s="12">
        <f t="shared" si="11"/>
        <v>15118.895663</v>
      </c>
      <c r="Q21" s="12">
        <f t="shared" si="12"/>
        <v>6</v>
      </c>
      <c r="R21" s="12">
        <f t="shared" si="13"/>
        <v>-305.56861</v>
      </c>
      <c r="S21" s="30">
        <f t="shared" si="14"/>
        <v>6</v>
      </c>
      <c r="T21" s="12">
        <f t="shared" si="15"/>
        <v>-305.56861</v>
      </c>
      <c r="U21" s="19">
        <f t="shared" si="16"/>
        <v>1.36986301369863</v>
      </c>
      <c r="V21" s="19">
        <f t="shared" si="17"/>
        <v>-1.98106465541813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444</v>
      </c>
      <c r="AJ21" s="47">
        <v>15073.295663</v>
      </c>
      <c r="AK21" s="47">
        <v>444</v>
      </c>
      <c r="AL21" s="47">
        <v>15073.295663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715</v>
      </c>
      <c r="D22" s="12">
        <v>24812.1847</v>
      </c>
      <c r="E22" s="12">
        <f t="shared" si="1"/>
        <v>-2</v>
      </c>
      <c r="F22" s="12">
        <f t="shared" si="2"/>
        <v>-144.688142999999</v>
      </c>
      <c r="G22" s="12">
        <f t="shared" si="3"/>
        <v>41</v>
      </c>
      <c r="H22" s="12">
        <f t="shared" si="4"/>
        <v>1467.615732</v>
      </c>
      <c r="I22" s="12">
        <f t="shared" si="5"/>
        <v>41</v>
      </c>
      <c r="J22" s="12">
        <f t="shared" si="6"/>
        <v>1467.615732</v>
      </c>
      <c r="K22" s="12">
        <f t="shared" si="18"/>
        <v>-21</v>
      </c>
      <c r="L22" s="12">
        <f t="shared" si="7"/>
        <v>188.695732000002</v>
      </c>
      <c r="M22" s="19">
        <f t="shared" si="8"/>
        <v>6.08308605341246</v>
      </c>
      <c r="N22" s="19">
        <f t="shared" si="9"/>
        <v>6.28675446529668</v>
      </c>
      <c r="O22" s="12">
        <f t="shared" si="10"/>
        <v>715</v>
      </c>
      <c r="P22" s="12">
        <f t="shared" si="11"/>
        <v>24812.1847</v>
      </c>
      <c r="Q22" s="12">
        <f t="shared" si="12"/>
        <v>41</v>
      </c>
      <c r="R22" s="12">
        <f t="shared" si="13"/>
        <v>1467.615732</v>
      </c>
      <c r="S22" s="12">
        <f t="shared" si="14"/>
        <v>41</v>
      </c>
      <c r="T22" s="12">
        <f t="shared" si="15"/>
        <v>1467.615732</v>
      </c>
      <c r="U22" s="19">
        <f t="shared" si="16"/>
        <v>6.08308605341246</v>
      </c>
      <c r="V22" s="19">
        <f t="shared" si="17"/>
        <v>6.28675446529668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717</v>
      </c>
      <c r="AJ22" s="47">
        <v>24956.872843</v>
      </c>
      <c r="AK22" s="47">
        <v>717</v>
      </c>
      <c r="AL22" s="47">
        <v>24956.872843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693</v>
      </c>
      <c r="D23" s="12">
        <v>25678.468747</v>
      </c>
      <c r="E23" s="12">
        <f t="shared" si="1"/>
        <v>0</v>
      </c>
      <c r="F23" s="12">
        <f t="shared" si="2"/>
        <v>250.428728999999</v>
      </c>
      <c r="G23" s="12">
        <f t="shared" si="3"/>
        <v>-7</v>
      </c>
      <c r="H23" s="12">
        <f t="shared" si="4"/>
        <v>-341.719839000001</v>
      </c>
      <c r="I23" s="12">
        <f t="shared" si="5"/>
        <v>-7</v>
      </c>
      <c r="J23" s="12">
        <f t="shared" si="6"/>
        <v>-341.719839000001</v>
      </c>
      <c r="K23" s="12">
        <f t="shared" si="18"/>
        <v>-49</v>
      </c>
      <c r="L23" s="12">
        <f t="shared" si="7"/>
        <v>-870.129839000001</v>
      </c>
      <c r="M23" s="19">
        <f t="shared" si="8"/>
        <v>-1</v>
      </c>
      <c r="N23" s="19">
        <f t="shared" si="9"/>
        <v>-1.31328732637957</v>
      </c>
      <c r="O23" s="12">
        <f t="shared" si="10"/>
        <v>693</v>
      </c>
      <c r="P23" s="12">
        <f t="shared" si="11"/>
        <v>25678.468747</v>
      </c>
      <c r="Q23" s="12">
        <f t="shared" si="12"/>
        <v>-7</v>
      </c>
      <c r="R23" s="12">
        <f t="shared" si="13"/>
        <v>-341.719839000001</v>
      </c>
      <c r="S23" s="12">
        <f t="shared" si="14"/>
        <v>-7</v>
      </c>
      <c r="T23" s="12">
        <f t="shared" si="15"/>
        <v>-341.719839000001</v>
      </c>
      <c r="U23" s="19">
        <f t="shared" si="16"/>
        <v>-1</v>
      </c>
      <c r="V23" s="19">
        <f t="shared" si="17"/>
        <v>-1.31328732637957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693</v>
      </c>
      <c r="AJ23" s="47">
        <v>25428.040018</v>
      </c>
      <c r="AK23" s="47">
        <v>693</v>
      </c>
      <c r="AL23" s="47">
        <v>25428.040018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482</v>
      </c>
      <c r="D24" s="12">
        <v>15573.61</v>
      </c>
      <c r="E24" s="12">
        <f t="shared" si="1"/>
        <v>-3</v>
      </c>
      <c r="F24" s="12">
        <f t="shared" si="2"/>
        <v>-42.0999999999985</v>
      </c>
      <c r="G24" s="12">
        <f t="shared" si="3"/>
        <v>11</v>
      </c>
      <c r="H24" s="12">
        <f t="shared" si="4"/>
        <v>985.210000000001</v>
      </c>
      <c r="I24" s="12">
        <f t="shared" si="5"/>
        <v>11</v>
      </c>
      <c r="J24" s="12">
        <f t="shared" si="6"/>
        <v>985.210000000001</v>
      </c>
      <c r="K24" s="12">
        <f t="shared" si="18"/>
        <v>-40</v>
      </c>
      <c r="L24" s="12">
        <f t="shared" si="7"/>
        <v>167.220000000001</v>
      </c>
      <c r="M24" s="19">
        <f t="shared" si="8"/>
        <v>2.33545647558386</v>
      </c>
      <c r="N24" s="19">
        <f t="shared" si="9"/>
        <v>6.75337939732939</v>
      </c>
      <c r="O24" s="12">
        <f t="shared" si="10"/>
        <v>482</v>
      </c>
      <c r="P24" s="12">
        <f t="shared" si="11"/>
        <v>15573.61</v>
      </c>
      <c r="Q24" s="12">
        <f t="shared" si="12"/>
        <v>11</v>
      </c>
      <c r="R24" s="12">
        <f t="shared" si="13"/>
        <v>985.210000000001</v>
      </c>
      <c r="S24" s="30">
        <f t="shared" si="14"/>
        <v>11</v>
      </c>
      <c r="T24" s="12">
        <f t="shared" si="15"/>
        <v>985.210000000001</v>
      </c>
      <c r="U24" s="19">
        <f t="shared" si="16"/>
        <v>2.33545647558386</v>
      </c>
      <c r="V24" s="19">
        <f t="shared" si="17"/>
        <v>6.75337939732939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485</v>
      </c>
      <c r="AJ24" s="47">
        <v>15615.71</v>
      </c>
      <c r="AK24" s="47">
        <v>485</v>
      </c>
      <c r="AL24" s="47">
        <v>15615.71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483</v>
      </c>
      <c r="D25" s="12">
        <v>15509.736424</v>
      </c>
      <c r="E25" s="12">
        <f t="shared" si="1"/>
        <v>1</v>
      </c>
      <c r="F25" s="12">
        <f t="shared" si="2"/>
        <v>9.07878100000016</v>
      </c>
      <c r="G25" s="12">
        <f t="shared" si="3"/>
        <v>1</v>
      </c>
      <c r="H25" s="12">
        <f t="shared" si="4"/>
        <v>-617.140592</v>
      </c>
      <c r="I25" s="12">
        <f t="shared" si="5"/>
        <v>1</v>
      </c>
      <c r="J25" s="12">
        <f t="shared" si="6"/>
        <v>-617.140592</v>
      </c>
      <c r="K25" s="12">
        <f t="shared" si="18"/>
        <v>-24</v>
      </c>
      <c r="L25" s="12">
        <f t="shared" si="7"/>
        <v>-1498.320592</v>
      </c>
      <c r="M25" s="19">
        <f t="shared" si="8"/>
        <v>0.20746887966805</v>
      </c>
      <c r="N25" s="19">
        <f t="shared" si="9"/>
        <v>-3.82678302431224</v>
      </c>
      <c r="O25" s="12">
        <f t="shared" si="10"/>
        <v>483</v>
      </c>
      <c r="P25" s="12">
        <f t="shared" si="11"/>
        <v>15509.736424</v>
      </c>
      <c r="Q25" s="12">
        <f t="shared" si="12"/>
        <v>1</v>
      </c>
      <c r="R25" s="12">
        <f t="shared" si="13"/>
        <v>-617.140592</v>
      </c>
      <c r="S25" s="12">
        <f t="shared" si="14"/>
        <v>1</v>
      </c>
      <c r="T25" s="12">
        <f t="shared" si="15"/>
        <v>-617.140592</v>
      </c>
      <c r="U25" s="19">
        <f t="shared" si="16"/>
        <v>0.20746887966805</v>
      </c>
      <c r="V25" s="19">
        <f t="shared" si="17"/>
        <v>-3.82678302431224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482</v>
      </c>
      <c r="AJ25" s="47">
        <v>15500.657643</v>
      </c>
      <c r="AK25" s="47">
        <v>482</v>
      </c>
      <c r="AL25" s="47">
        <v>15500.657643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269</v>
      </c>
      <c r="D26" s="12">
        <v>10341.320063</v>
      </c>
      <c r="E26" s="12">
        <f t="shared" si="1"/>
        <v>0</v>
      </c>
      <c r="F26" s="12">
        <f t="shared" si="2"/>
        <v>-57.0600000000013</v>
      </c>
      <c r="G26" s="12">
        <f t="shared" si="3"/>
        <v>-8</v>
      </c>
      <c r="H26" s="12">
        <f t="shared" si="4"/>
        <v>-481.105492000001</v>
      </c>
      <c r="I26" s="12">
        <f t="shared" si="5"/>
        <v>-8</v>
      </c>
      <c r="J26" s="12">
        <f t="shared" si="6"/>
        <v>-481.105492000001</v>
      </c>
      <c r="K26" s="12">
        <f t="shared" si="18"/>
        <v>-28</v>
      </c>
      <c r="L26" s="12">
        <f t="shared" si="7"/>
        <v>-1185.115492</v>
      </c>
      <c r="M26" s="19">
        <f t="shared" si="8"/>
        <v>-2.88808664259928</v>
      </c>
      <c r="N26" s="19">
        <f t="shared" si="9"/>
        <v>-4.44544977052513</v>
      </c>
      <c r="O26" s="12">
        <f t="shared" si="10"/>
        <v>269</v>
      </c>
      <c r="P26" s="12">
        <f t="shared" si="11"/>
        <v>10341.320063</v>
      </c>
      <c r="Q26" s="12">
        <f t="shared" si="12"/>
        <v>-8</v>
      </c>
      <c r="R26" s="12">
        <f t="shared" si="13"/>
        <v>-481.105492000001</v>
      </c>
      <c r="S26" s="12">
        <f t="shared" si="14"/>
        <v>-8</v>
      </c>
      <c r="T26" s="12">
        <f t="shared" si="15"/>
        <v>-481.105492000001</v>
      </c>
      <c r="U26" s="19">
        <f t="shared" si="16"/>
        <v>-2.88808664259928</v>
      </c>
      <c r="V26" s="19">
        <f t="shared" si="17"/>
        <v>-4.44544977052513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269</v>
      </c>
      <c r="AJ26" s="47">
        <v>10398.380063</v>
      </c>
      <c r="AK26" s="47">
        <v>269</v>
      </c>
      <c r="AL26" s="47">
        <v>10398.380063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337</v>
      </c>
      <c r="D27" s="12">
        <v>10935.115802</v>
      </c>
      <c r="E27" s="12">
        <f t="shared" si="1"/>
        <v>0</v>
      </c>
      <c r="F27" s="12">
        <f t="shared" si="2"/>
        <v>-55.4307690000005</v>
      </c>
      <c r="G27" s="12">
        <f t="shared" si="3"/>
        <v>9</v>
      </c>
      <c r="H27" s="12">
        <f t="shared" si="4"/>
        <v>-483.349157999999</v>
      </c>
      <c r="I27" s="12">
        <f t="shared" si="5"/>
        <v>9</v>
      </c>
      <c r="J27" s="12">
        <f t="shared" si="6"/>
        <v>-483.349157999999</v>
      </c>
      <c r="K27" s="12">
        <f t="shared" si="18"/>
        <v>-23</v>
      </c>
      <c r="L27" s="12">
        <f t="shared" si="7"/>
        <v>-1107.619158</v>
      </c>
      <c r="M27" s="19">
        <f t="shared" si="8"/>
        <v>2.74390243902439</v>
      </c>
      <c r="N27" s="19">
        <f t="shared" si="9"/>
        <v>-4.23304848500406</v>
      </c>
      <c r="O27" s="12">
        <f t="shared" si="10"/>
        <v>337</v>
      </c>
      <c r="P27" s="12">
        <f t="shared" si="11"/>
        <v>10935.115802</v>
      </c>
      <c r="Q27" s="12">
        <f t="shared" si="12"/>
        <v>9</v>
      </c>
      <c r="R27" s="12">
        <f t="shared" si="13"/>
        <v>-483.349157999999</v>
      </c>
      <c r="S27" s="12">
        <f t="shared" si="14"/>
        <v>9</v>
      </c>
      <c r="T27" s="12">
        <f t="shared" si="15"/>
        <v>-483.349157999999</v>
      </c>
      <c r="U27" s="19">
        <f t="shared" si="16"/>
        <v>2.74390243902439</v>
      </c>
      <c r="V27" s="19">
        <f t="shared" si="17"/>
        <v>-4.23304848500406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337</v>
      </c>
      <c r="AJ27" s="47">
        <v>10990.546571</v>
      </c>
      <c r="AK27" s="47">
        <v>337</v>
      </c>
      <c r="AL27" s="47">
        <v>10990.546571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391</v>
      </c>
      <c r="D28" s="12">
        <v>19577.095717</v>
      </c>
      <c r="E28" s="12">
        <f t="shared" si="1"/>
        <v>-4</v>
      </c>
      <c r="F28" s="12">
        <f t="shared" si="2"/>
        <v>-21.6046999999999</v>
      </c>
      <c r="G28" s="12">
        <f t="shared" si="3"/>
        <v>29</v>
      </c>
      <c r="H28" s="12">
        <f t="shared" si="4"/>
        <v>-474.715323</v>
      </c>
      <c r="I28" s="12">
        <f t="shared" si="5"/>
        <v>29</v>
      </c>
      <c r="J28" s="12">
        <f t="shared" si="6"/>
        <v>-474.715323</v>
      </c>
      <c r="K28" s="12">
        <f t="shared" si="18"/>
        <v>-11</v>
      </c>
      <c r="L28" s="12">
        <f t="shared" si="7"/>
        <v>-1355.445323</v>
      </c>
      <c r="M28" s="19">
        <f t="shared" si="8"/>
        <v>8.01104972375691</v>
      </c>
      <c r="N28" s="19">
        <f t="shared" si="9"/>
        <v>-2.36744362917156</v>
      </c>
      <c r="O28" s="12">
        <f t="shared" si="10"/>
        <v>391</v>
      </c>
      <c r="P28" s="12">
        <f t="shared" si="11"/>
        <v>19577.095717</v>
      </c>
      <c r="Q28" s="12">
        <f t="shared" si="12"/>
        <v>29</v>
      </c>
      <c r="R28" s="12">
        <f t="shared" si="13"/>
        <v>-474.715323</v>
      </c>
      <c r="S28" s="12">
        <f t="shared" si="14"/>
        <v>29</v>
      </c>
      <c r="T28" s="12">
        <f t="shared" si="15"/>
        <v>-474.715323</v>
      </c>
      <c r="U28" s="19">
        <f t="shared" si="16"/>
        <v>8.01104972375691</v>
      </c>
      <c r="V28" s="19">
        <f t="shared" si="17"/>
        <v>-2.36744362917156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395</v>
      </c>
      <c r="AJ28" s="47">
        <v>19598.700417</v>
      </c>
      <c r="AK28" s="47">
        <v>395</v>
      </c>
      <c r="AL28" s="47">
        <v>19598.700417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328</v>
      </c>
      <c r="D29" s="12">
        <v>11006.785328</v>
      </c>
      <c r="E29" s="12">
        <f t="shared" si="1"/>
        <v>3</v>
      </c>
      <c r="F29" s="12">
        <f t="shared" si="2"/>
        <v>-90.7729870000003</v>
      </c>
      <c r="G29" s="12">
        <f t="shared" si="3"/>
        <v>0</v>
      </c>
      <c r="H29" s="12">
        <f t="shared" si="4"/>
        <v>-987.877280000001</v>
      </c>
      <c r="I29" s="12">
        <f t="shared" si="5"/>
        <v>0</v>
      </c>
      <c r="J29" s="12">
        <f t="shared" si="6"/>
        <v>-987.877280000001</v>
      </c>
      <c r="K29" s="12">
        <f t="shared" si="18"/>
        <v>-35</v>
      </c>
      <c r="L29" s="12">
        <f t="shared" si="7"/>
        <v>-1535.58728</v>
      </c>
      <c r="M29" s="19">
        <f t="shared" si="8"/>
        <v>0</v>
      </c>
      <c r="N29" s="19">
        <f t="shared" si="9"/>
        <v>-8.23597388509388</v>
      </c>
      <c r="O29" s="12">
        <f t="shared" si="10"/>
        <v>328</v>
      </c>
      <c r="P29" s="12">
        <f t="shared" si="11"/>
        <v>11006.785328</v>
      </c>
      <c r="Q29" s="12">
        <f t="shared" si="12"/>
        <v>0</v>
      </c>
      <c r="R29" s="12">
        <f t="shared" si="13"/>
        <v>-987.877280000001</v>
      </c>
      <c r="S29" s="12">
        <f t="shared" si="14"/>
        <v>0</v>
      </c>
      <c r="T29" s="12">
        <f t="shared" si="15"/>
        <v>-987.877280000001</v>
      </c>
      <c r="U29" s="19">
        <f t="shared" si="16"/>
        <v>0</v>
      </c>
      <c r="V29" s="19">
        <f t="shared" si="17"/>
        <v>-8.23597388509388</v>
      </c>
      <c r="W29" s="12"/>
      <c r="X29" s="29"/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325</v>
      </c>
      <c r="AJ29" s="47">
        <v>11097.558315</v>
      </c>
      <c r="AK29" s="47">
        <v>325</v>
      </c>
      <c r="AL29" s="47">
        <v>11097.558315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355</v>
      </c>
      <c r="D30" s="12">
        <v>9172.26537700001</v>
      </c>
      <c r="E30" s="12">
        <f t="shared" si="1"/>
        <v>-2</v>
      </c>
      <c r="F30" s="12">
        <f t="shared" si="2"/>
        <v>-44.1999999999989</v>
      </c>
      <c r="G30" s="12">
        <f t="shared" si="3"/>
        <v>32</v>
      </c>
      <c r="H30" s="12">
        <f t="shared" si="4"/>
        <v>53.0272270000114</v>
      </c>
      <c r="I30" s="12">
        <f t="shared" si="5"/>
        <v>32</v>
      </c>
      <c r="J30" s="12">
        <f t="shared" si="6"/>
        <v>53.0272270000114</v>
      </c>
      <c r="K30" s="12">
        <f t="shared" si="18"/>
        <v>-63</v>
      </c>
      <c r="L30" s="12">
        <f t="shared" si="7"/>
        <v>-967.112772999989</v>
      </c>
      <c r="M30" s="19">
        <f t="shared" si="8"/>
        <v>9.90712074303406</v>
      </c>
      <c r="N30" s="19">
        <f t="shared" si="9"/>
        <v>0.58148746778821</v>
      </c>
      <c r="O30" s="12">
        <f t="shared" si="10"/>
        <v>355</v>
      </c>
      <c r="P30" s="12">
        <f t="shared" si="11"/>
        <v>9172.26537700001</v>
      </c>
      <c r="Q30" s="12">
        <f t="shared" si="12"/>
        <v>32</v>
      </c>
      <c r="R30" s="12">
        <f t="shared" si="13"/>
        <v>53.0272270000114</v>
      </c>
      <c r="S30" s="12">
        <f t="shared" si="14"/>
        <v>32</v>
      </c>
      <c r="T30" s="12">
        <f t="shared" si="15"/>
        <v>53.0272270000114</v>
      </c>
      <c r="U30" s="19">
        <f t="shared" si="16"/>
        <v>9.90712074303406</v>
      </c>
      <c r="V30" s="19">
        <f t="shared" si="17"/>
        <v>0.58148746778821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357</v>
      </c>
      <c r="AJ30" s="47">
        <v>9216.46537700001</v>
      </c>
      <c r="AK30" s="47">
        <v>357</v>
      </c>
      <c r="AL30" s="47">
        <v>9216.46537700001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376</v>
      </c>
      <c r="D31" s="12">
        <v>10694.390199</v>
      </c>
      <c r="E31" s="12">
        <f t="shared" si="1"/>
        <v>1</v>
      </c>
      <c r="F31" s="12">
        <f t="shared" si="2"/>
        <v>-80.3618569999999</v>
      </c>
      <c r="G31" s="12">
        <f t="shared" si="3"/>
        <v>11</v>
      </c>
      <c r="H31" s="12">
        <f t="shared" si="4"/>
        <v>-387.119536</v>
      </c>
      <c r="I31" s="12">
        <f t="shared" si="5"/>
        <v>11</v>
      </c>
      <c r="J31" s="12">
        <f t="shared" si="6"/>
        <v>-387.119536</v>
      </c>
      <c r="K31" s="12">
        <f t="shared" si="18"/>
        <v>-37</v>
      </c>
      <c r="L31" s="12">
        <f t="shared" si="7"/>
        <v>-897.089536000001</v>
      </c>
      <c r="M31" s="19">
        <f t="shared" si="8"/>
        <v>3.01369863013699</v>
      </c>
      <c r="N31" s="19">
        <f t="shared" si="9"/>
        <v>-3.49338262797637</v>
      </c>
      <c r="O31" s="12">
        <f t="shared" si="10"/>
        <v>376</v>
      </c>
      <c r="P31" s="12">
        <f t="shared" si="11"/>
        <v>10694.390199</v>
      </c>
      <c r="Q31" s="12">
        <f t="shared" si="12"/>
        <v>11</v>
      </c>
      <c r="R31" s="12">
        <f t="shared" si="13"/>
        <v>-387.119536</v>
      </c>
      <c r="S31" s="12">
        <f t="shared" si="14"/>
        <v>11</v>
      </c>
      <c r="T31" s="12">
        <f t="shared" si="15"/>
        <v>-387.119536</v>
      </c>
      <c r="U31" s="19">
        <f t="shared" si="16"/>
        <v>3.01369863013699</v>
      </c>
      <c r="V31" s="19">
        <f t="shared" si="17"/>
        <v>-3.49338262797637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375</v>
      </c>
      <c r="AJ31" s="47">
        <v>10774.752056</v>
      </c>
      <c r="AK31" s="47">
        <v>375</v>
      </c>
      <c r="AL31" s="47">
        <v>10774.752056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514</v>
      </c>
      <c r="D32" s="12">
        <v>12380.896379</v>
      </c>
      <c r="E32" s="12">
        <f t="shared" si="1"/>
        <v>-4</v>
      </c>
      <c r="F32" s="12">
        <f t="shared" si="2"/>
        <v>-165.897204999999</v>
      </c>
      <c r="G32" s="12">
        <f t="shared" si="3"/>
        <v>14</v>
      </c>
      <c r="H32" s="12">
        <f t="shared" si="4"/>
        <v>-69.769123</v>
      </c>
      <c r="I32" s="12">
        <f t="shared" si="5"/>
        <v>14</v>
      </c>
      <c r="J32" s="12">
        <f t="shared" si="6"/>
        <v>-69.769123</v>
      </c>
      <c r="K32" s="12">
        <f t="shared" si="18"/>
        <v>-46</v>
      </c>
      <c r="L32" s="12">
        <f t="shared" si="7"/>
        <v>-421.659122999999</v>
      </c>
      <c r="M32" s="19">
        <f t="shared" si="8"/>
        <v>2.8</v>
      </c>
      <c r="N32" s="19">
        <f t="shared" si="9"/>
        <v>-0.560364608532715</v>
      </c>
      <c r="O32" s="12">
        <f t="shared" si="10"/>
        <v>514</v>
      </c>
      <c r="P32" s="12">
        <f t="shared" si="11"/>
        <v>12380.896379</v>
      </c>
      <c r="Q32" s="12">
        <f t="shared" si="12"/>
        <v>14</v>
      </c>
      <c r="R32" s="12">
        <f t="shared" si="13"/>
        <v>-69.769123</v>
      </c>
      <c r="S32" s="30">
        <f t="shared" si="14"/>
        <v>14</v>
      </c>
      <c r="T32" s="12">
        <f t="shared" si="15"/>
        <v>-69.769123</v>
      </c>
      <c r="U32" s="19">
        <f t="shared" si="16"/>
        <v>2.8</v>
      </c>
      <c r="V32" s="19">
        <f t="shared" si="17"/>
        <v>-0.560364608532715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518</v>
      </c>
      <c r="AJ32" s="47">
        <v>12546.793584</v>
      </c>
      <c r="AK32" s="47">
        <v>518</v>
      </c>
      <c r="AL32" s="47">
        <v>12546.793584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2125</v>
      </c>
      <c r="D33" s="12">
        <v>95725.294923</v>
      </c>
      <c r="E33" s="12">
        <f t="shared" si="1"/>
        <v>-2</v>
      </c>
      <c r="F33" s="12">
        <f t="shared" si="2"/>
        <v>-451.468805000011</v>
      </c>
      <c r="G33" s="12">
        <f t="shared" si="3"/>
        <v>-15</v>
      </c>
      <c r="H33" s="12">
        <f t="shared" si="4"/>
        <v>-3001.53492099991</v>
      </c>
      <c r="I33" s="12">
        <f t="shared" si="5"/>
        <v>-15</v>
      </c>
      <c r="J33" s="12">
        <f t="shared" si="6"/>
        <v>-3001.53492099991</v>
      </c>
      <c r="K33" s="12">
        <f t="shared" si="18"/>
        <v>-46</v>
      </c>
      <c r="L33" s="12">
        <f t="shared" si="7"/>
        <v>-1660.61492099991</v>
      </c>
      <c r="M33" s="19">
        <f t="shared" si="8"/>
        <v>-0.700934579439252</v>
      </c>
      <c r="N33" s="19">
        <f t="shared" si="9"/>
        <v>-3.04024237964765</v>
      </c>
      <c r="O33" s="12">
        <f t="shared" si="10"/>
        <v>2125</v>
      </c>
      <c r="P33" s="12">
        <f t="shared" si="11"/>
        <v>95725.294923</v>
      </c>
      <c r="Q33" s="12">
        <f t="shared" si="12"/>
        <v>-15</v>
      </c>
      <c r="R33" s="12">
        <f t="shared" si="13"/>
        <v>-3001.53492099991</v>
      </c>
      <c r="S33" s="30">
        <f t="shared" si="14"/>
        <v>-15</v>
      </c>
      <c r="T33" s="12">
        <f t="shared" si="15"/>
        <v>-3001.53492099991</v>
      </c>
      <c r="U33" s="19">
        <f t="shared" si="16"/>
        <v>-0.700934579439252</v>
      </c>
      <c r="V33" s="19">
        <f t="shared" si="17"/>
        <v>-3.04024237964765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2127</v>
      </c>
      <c r="AJ33" s="47">
        <v>96176.763728</v>
      </c>
      <c r="AK33" s="47">
        <v>2127</v>
      </c>
      <c r="AL33" s="47">
        <v>96176.763728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613</v>
      </c>
      <c r="D34" s="12">
        <v>27405.33233</v>
      </c>
      <c r="E34" s="12">
        <f t="shared" si="1"/>
        <v>0</v>
      </c>
      <c r="F34" s="12">
        <f t="shared" si="2"/>
        <v>22.0383959999999</v>
      </c>
      <c r="G34" s="12">
        <f t="shared" si="3"/>
        <v>4</v>
      </c>
      <c r="H34" s="12">
        <f t="shared" si="4"/>
        <v>124.628520000002</v>
      </c>
      <c r="I34" s="12">
        <f t="shared" si="5"/>
        <v>4</v>
      </c>
      <c r="J34" s="12">
        <f t="shared" si="6"/>
        <v>124.628520000002</v>
      </c>
      <c r="K34" s="12">
        <f t="shared" si="18"/>
        <v>-28</v>
      </c>
      <c r="L34" s="12">
        <f t="shared" si="7"/>
        <v>-1130.89148</v>
      </c>
      <c r="M34" s="19">
        <f t="shared" si="8"/>
        <v>0.656814449917898</v>
      </c>
      <c r="N34" s="19">
        <f t="shared" si="9"/>
        <v>0.456837627313406</v>
      </c>
      <c r="O34" s="12">
        <f t="shared" si="10"/>
        <v>613</v>
      </c>
      <c r="P34" s="12">
        <f t="shared" si="11"/>
        <v>27405.33233</v>
      </c>
      <c r="Q34" s="12">
        <f t="shared" si="12"/>
        <v>4</v>
      </c>
      <c r="R34" s="12">
        <f t="shared" si="13"/>
        <v>124.628520000002</v>
      </c>
      <c r="S34" s="12">
        <f t="shared" si="14"/>
        <v>4</v>
      </c>
      <c r="T34" s="12">
        <f t="shared" si="15"/>
        <v>124.628520000002</v>
      </c>
      <c r="U34" s="19">
        <f t="shared" si="16"/>
        <v>0.656814449917898</v>
      </c>
      <c r="V34" s="19">
        <f t="shared" si="17"/>
        <v>0.456837627313406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613</v>
      </c>
      <c r="AJ34" s="47">
        <v>27383.293934</v>
      </c>
      <c r="AK34" s="47">
        <v>613</v>
      </c>
      <c r="AL34" s="47">
        <v>27383.293934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2500</v>
      </c>
      <c r="D35" s="12">
        <v>96883</v>
      </c>
      <c r="E35" s="12">
        <f t="shared" si="1"/>
        <v>-4</v>
      </c>
      <c r="F35" s="12">
        <f t="shared" si="2"/>
        <v>235</v>
      </c>
      <c r="G35" s="12">
        <f t="shared" si="3"/>
        <v>-21</v>
      </c>
      <c r="H35" s="12">
        <f t="shared" si="4"/>
        <v>-521</v>
      </c>
      <c r="I35" s="12">
        <f t="shared" si="5"/>
        <v>-21</v>
      </c>
      <c r="J35" s="12">
        <f t="shared" si="6"/>
        <v>-521</v>
      </c>
      <c r="K35" s="12">
        <f t="shared" si="18"/>
        <v>-144</v>
      </c>
      <c r="L35" s="12">
        <f t="shared" si="7"/>
        <v>-5835</v>
      </c>
      <c r="M35" s="19">
        <f t="shared" si="8"/>
        <v>-0.833002776675922</v>
      </c>
      <c r="N35" s="19">
        <f t="shared" si="9"/>
        <v>-0.534885630980247</v>
      </c>
      <c r="O35" s="12">
        <f t="shared" si="10"/>
        <v>2500</v>
      </c>
      <c r="P35" s="12">
        <f t="shared" si="11"/>
        <v>96883</v>
      </c>
      <c r="Q35" s="12">
        <f t="shared" si="12"/>
        <v>-21</v>
      </c>
      <c r="R35" s="12">
        <f t="shared" si="13"/>
        <v>-521</v>
      </c>
      <c r="S35" s="12">
        <f t="shared" si="14"/>
        <v>-21</v>
      </c>
      <c r="T35" s="12">
        <f t="shared" si="15"/>
        <v>-521</v>
      </c>
      <c r="U35" s="19">
        <f t="shared" si="16"/>
        <v>-0.833002776675922</v>
      </c>
      <c r="V35" s="19">
        <f t="shared" si="17"/>
        <v>-0.534885630980247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2504</v>
      </c>
      <c r="AJ35" s="47">
        <v>96648</v>
      </c>
      <c r="AK35" s="47">
        <v>2504</v>
      </c>
      <c r="AL35" s="47">
        <v>96648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2542</v>
      </c>
      <c r="D36" s="12">
        <v>84415</v>
      </c>
      <c r="E36" s="12">
        <f t="shared" si="1"/>
        <v>-1</v>
      </c>
      <c r="F36" s="12">
        <f t="shared" si="2"/>
        <v>-53</v>
      </c>
      <c r="G36" s="12">
        <f t="shared" si="3"/>
        <v>-1</v>
      </c>
      <c r="H36" s="12">
        <f t="shared" si="4"/>
        <v>-150</v>
      </c>
      <c r="I36" s="12">
        <f t="shared" si="5"/>
        <v>-1</v>
      </c>
      <c r="J36" s="12">
        <f t="shared" si="6"/>
        <v>-150</v>
      </c>
      <c r="K36" s="12">
        <f t="shared" si="18"/>
        <v>-4</v>
      </c>
      <c r="L36" s="12">
        <f t="shared" si="7"/>
        <v>-156</v>
      </c>
      <c r="M36" s="19">
        <f t="shared" si="8"/>
        <v>-0.0393236335037357</v>
      </c>
      <c r="N36" s="19">
        <f t="shared" si="9"/>
        <v>-0.177378348016319</v>
      </c>
      <c r="O36" s="12">
        <f t="shared" si="10"/>
        <v>2542</v>
      </c>
      <c r="P36" s="12">
        <f t="shared" si="11"/>
        <v>84415</v>
      </c>
      <c r="Q36" s="12">
        <f t="shared" si="12"/>
        <v>-1</v>
      </c>
      <c r="R36" s="12">
        <f t="shared" si="13"/>
        <v>-150</v>
      </c>
      <c r="S36" s="12">
        <f t="shared" si="14"/>
        <v>-1</v>
      </c>
      <c r="T36" s="12">
        <f t="shared" si="15"/>
        <v>-150</v>
      </c>
      <c r="U36" s="19">
        <f t="shared" si="16"/>
        <v>-0.0393236335037357</v>
      </c>
      <c r="V36" s="19">
        <f t="shared" si="17"/>
        <v>-0.177378348016319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2543</v>
      </c>
      <c r="AJ36" s="47">
        <v>84468</v>
      </c>
      <c r="AK36" s="47">
        <v>2543</v>
      </c>
      <c r="AL36" s="47">
        <v>84468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309</v>
      </c>
      <c r="D37" s="12">
        <v>13631.788856</v>
      </c>
      <c r="E37" s="12">
        <f t="shared" si="1"/>
        <v>0</v>
      </c>
      <c r="F37" s="12">
        <f t="shared" si="2"/>
        <v>-44.9000000000015</v>
      </c>
      <c r="G37" s="12">
        <f t="shared" si="3"/>
        <v>16</v>
      </c>
      <c r="H37" s="12">
        <f t="shared" si="4"/>
        <v>-21.3900000000012</v>
      </c>
      <c r="I37" s="12">
        <f t="shared" si="5"/>
        <v>16</v>
      </c>
      <c r="J37" s="12">
        <f t="shared" si="6"/>
        <v>-21.3900000000012</v>
      </c>
      <c r="K37" s="12">
        <f t="shared" si="18"/>
        <v>-28</v>
      </c>
      <c r="L37" s="12">
        <f t="shared" si="7"/>
        <v>-1027</v>
      </c>
      <c r="M37" s="19">
        <f t="shared" si="8"/>
        <v>5.46075085324232</v>
      </c>
      <c r="N37" s="19">
        <f t="shared" si="9"/>
        <v>-0.156666811631206</v>
      </c>
      <c r="O37" s="12">
        <f t="shared" si="10"/>
        <v>309</v>
      </c>
      <c r="P37" s="12">
        <f t="shared" si="11"/>
        <v>13631.788856</v>
      </c>
      <c r="Q37" s="12">
        <f t="shared" si="12"/>
        <v>16</v>
      </c>
      <c r="R37" s="12">
        <f t="shared" si="13"/>
        <v>-21.3900000000012</v>
      </c>
      <c r="S37" s="12">
        <f t="shared" si="14"/>
        <v>16</v>
      </c>
      <c r="T37" s="12">
        <f t="shared" si="15"/>
        <v>-21.3900000000012</v>
      </c>
      <c r="U37" s="19">
        <f t="shared" si="16"/>
        <v>5.46075085324232</v>
      </c>
      <c r="V37" s="19">
        <f t="shared" si="17"/>
        <v>-0.156666811631206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309</v>
      </c>
      <c r="AJ37" s="47">
        <v>13676.688856</v>
      </c>
      <c r="AK37" s="47">
        <v>309</v>
      </c>
      <c r="AL37" s="47">
        <v>13676.688856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442</v>
      </c>
      <c r="D38" s="12">
        <v>19699.446668</v>
      </c>
      <c r="E38" s="12">
        <f t="shared" si="1"/>
        <v>-1</v>
      </c>
      <c r="F38" s="12">
        <f t="shared" si="2"/>
        <v>209.187105000001</v>
      </c>
      <c r="G38" s="12">
        <f t="shared" si="3"/>
        <v>-2</v>
      </c>
      <c r="H38" s="12">
        <f t="shared" si="4"/>
        <v>-29.2784339999998</v>
      </c>
      <c r="I38" s="12">
        <f t="shared" si="5"/>
        <v>-2</v>
      </c>
      <c r="J38" s="12">
        <f t="shared" si="6"/>
        <v>-29.2784339999998</v>
      </c>
      <c r="K38" s="12">
        <f t="shared" si="18"/>
        <v>-42</v>
      </c>
      <c r="L38" s="12">
        <f t="shared" si="7"/>
        <v>-1048.278434</v>
      </c>
      <c r="M38" s="19">
        <f t="shared" si="8"/>
        <v>-0.45045045045045</v>
      </c>
      <c r="N38" s="19">
        <f t="shared" si="9"/>
        <v>-0.148405098903384</v>
      </c>
      <c r="O38" s="12">
        <f t="shared" si="10"/>
        <v>442</v>
      </c>
      <c r="P38" s="12">
        <f t="shared" si="11"/>
        <v>19699.446668</v>
      </c>
      <c r="Q38" s="12">
        <f t="shared" si="12"/>
        <v>-2</v>
      </c>
      <c r="R38" s="12">
        <f t="shared" si="13"/>
        <v>-29.2784339999998</v>
      </c>
      <c r="S38" s="12">
        <f t="shared" si="14"/>
        <v>-2</v>
      </c>
      <c r="T38" s="12">
        <f t="shared" si="15"/>
        <v>-29.2784339999998</v>
      </c>
      <c r="U38" s="19">
        <f t="shared" si="16"/>
        <v>-0.45045045045045</v>
      </c>
      <c r="V38" s="19">
        <f t="shared" si="17"/>
        <v>-0.148405098903384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443</v>
      </c>
      <c r="AJ38" s="47">
        <v>19490.259563</v>
      </c>
      <c r="AK38" s="47">
        <v>443</v>
      </c>
      <c r="AL38" s="47">
        <v>19490.259563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420</v>
      </c>
      <c r="D39" s="12">
        <v>18174.420726</v>
      </c>
      <c r="E39" s="12">
        <f t="shared" si="1"/>
        <v>-1</v>
      </c>
      <c r="F39" s="12">
        <f t="shared" si="2"/>
        <v>3.86123900000166</v>
      </c>
      <c r="G39" s="12">
        <f t="shared" si="3"/>
        <v>16</v>
      </c>
      <c r="H39" s="12">
        <f t="shared" si="4"/>
        <v>615.982242999999</v>
      </c>
      <c r="I39" s="12">
        <f t="shared" si="5"/>
        <v>16</v>
      </c>
      <c r="J39" s="12">
        <f t="shared" si="6"/>
        <v>615.982242999999</v>
      </c>
      <c r="K39" s="12">
        <f t="shared" si="18"/>
        <v>-2</v>
      </c>
      <c r="L39" s="12">
        <f t="shared" si="7"/>
        <v>-385.197757000001</v>
      </c>
      <c r="M39" s="19">
        <f t="shared" si="8"/>
        <v>3.96039603960396</v>
      </c>
      <c r="N39" s="19">
        <f t="shared" si="9"/>
        <v>3.50818350729986</v>
      </c>
      <c r="O39" s="12">
        <f t="shared" si="10"/>
        <v>420</v>
      </c>
      <c r="P39" s="12">
        <f t="shared" si="11"/>
        <v>18174.420726</v>
      </c>
      <c r="Q39" s="12">
        <f t="shared" si="12"/>
        <v>16</v>
      </c>
      <c r="R39" s="12">
        <f t="shared" si="13"/>
        <v>615.982242999999</v>
      </c>
      <c r="S39" s="12">
        <f t="shared" si="14"/>
        <v>16</v>
      </c>
      <c r="T39" s="12">
        <f t="shared" si="15"/>
        <v>615.982242999999</v>
      </c>
      <c r="U39" s="19">
        <f t="shared" si="16"/>
        <v>3.96039603960396</v>
      </c>
      <c r="V39" s="19">
        <f t="shared" si="17"/>
        <v>3.50818350729986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421</v>
      </c>
      <c r="AJ39" s="47">
        <v>18170.559487</v>
      </c>
      <c r="AK39" s="47">
        <v>421</v>
      </c>
      <c r="AL39" s="47">
        <v>18170.559487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330</v>
      </c>
      <c r="D40" s="12">
        <v>427665.974804</v>
      </c>
      <c r="E40" s="12">
        <f t="shared" si="1"/>
        <v>1</v>
      </c>
      <c r="F40" s="12">
        <f t="shared" si="2"/>
        <v>1000</v>
      </c>
      <c r="G40" s="12">
        <f t="shared" si="3"/>
        <v>6</v>
      </c>
      <c r="H40" s="12">
        <f t="shared" si="4"/>
        <v>9035</v>
      </c>
      <c r="I40" s="12">
        <f t="shared" si="5"/>
        <v>6</v>
      </c>
      <c r="J40" s="12">
        <f t="shared" si="6"/>
        <v>9035</v>
      </c>
      <c r="K40" s="12">
        <f t="shared" si="18"/>
        <v>-5</v>
      </c>
      <c r="L40" s="12">
        <f t="shared" si="7"/>
        <v>-187.97000000003</v>
      </c>
      <c r="M40" s="19">
        <f t="shared" si="8"/>
        <v>1.85185185185185</v>
      </c>
      <c r="N40" s="19">
        <f t="shared" si="9"/>
        <v>2.15822539271733</v>
      </c>
      <c r="O40" s="12">
        <f t="shared" si="10"/>
        <v>330</v>
      </c>
      <c r="P40" s="12">
        <f t="shared" si="11"/>
        <v>427665.974804</v>
      </c>
      <c r="Q40" s="12">
        <f t="shared" si="12"/>
        <v>6</v>
      </c>
      <c r="R40" s="12">
        <f t="shared" si="13"/>
        <v>9035</v>
      </c>
      <c r="S40" s="12">
        <f t="shared" si="14"/>
        <v>6</v>
      </c>
      <c r="T40" s="12">
        <f t="shared" si="15"/>
        <v>9035</v>
      </c>
      <c r="U40" s="19">
        <f t="shared" si="16"/>
        <v>1.85185185185185</v>
      </c>
      <c r="V40" s="19">
        <f t="shared" si="17"/>
        <v>2.15822539271733</v>
      </c>
      <c r="W40" s="12"/>
      <c r="X40" s="29"/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329</v>
      </c>
      <c r="AJ40" s="47">
        <v>426665.974804</v>
      </c>
      <c r="AK40" s="47">
        <v>329</v>
      </c>
      <c r="AL40" s="47">
        <v>426665.974804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352</v>
      </c>
      <c r="D41" s="12">
        <v>17615.643106</v>
      </c>
      <c r="E41" s="12">
        <f t="shared" si="1"/>
        <v>0</v>
      </c>
      <c r="F41" s="12">
        <f t="shared" si="2"/>
        <v>-0.409999999999854</v>
      </c>
      <c r="G41" s="12">
        <f t="shared" si="3"/>
        <v>0</v>
      </c>
      <c r="H41" s="12">
        <f t="shared" si="4"/>
        <v>9.81699099999969</v>
      </c>
      <c r="I41" s="12">
        <f t="shared" si="5"/>
        <v>0</v>
      </c>
      <c r="J41" s="12">
        <f t="shared" si="6"/>
        <v>9.81699099999969</v>
      </c>
      <c r="K41" s="12">
        <f t="shared" si="18"/>
        <v>-34</v>
      </c>
      <c r="L41" s="12">
        <f t="shared" si="7"/>
        <v>-910.943009000002</v>
      </c>
      <c r="M41" s="19">
        <f t="shared" si="8"/>
        <v>0</v>
      </c>
      <c r="N41" s="19">
        <f t="shared" si="9"/>
        <v>0.0557598997961005</v>
      </c>
      <c r="O41" s="12">
        <f>C41+W41+AA41-AC41+Y41</f>
        <v>352</v>
      </c>
      <c r="P41" s="12">
        <f>D41+X41+AB41-AD41+Z41</f>
        <v>17615.643106</v>
      </c>
      <c r="Q41" s="12">
        <f t="shared" si="12"/>
        <v>0</v>
      </c>
      <c r="R41" s="12">
        <f t="shared" si="13"/>
        <v>9.81699099999969</v>
      </c>
      <c r="S41" s="12">
        <f t="shared" si="14"/>
        <v>0</v>
      </c>
      <c r="T41" s="12">
        <f t="shared" si="15"/>
        <v>9.81699099999969</v>
      </c>
      <c r="U41" s="19">
        <f t="shared" si="16"/>
        <v>0</v>
      </c>
      <c r="V41" s="19">
        <f t="shared" si="17"/>
        <v>0.0557598997961005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352</v>
      </c>
      <c r="AJ41" s="47">
        <v>17616.053106</v>
      </c>
      <c r="AK41" s="47">
        <v>352</v>
      </c>
      <c r="AL41" s="47">
        <v>17616.053106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1742767</v>
      </c>
      <c r="E42" s="16"/>
      <c r="F42" s="12">
        <v>256</v>
      </c>
      <c r="G42" s="16"/>
      <c r="H42" s="12">
        <v>4825</v>
      </c>
      <c r="I42" s="16"/>
      <c r="J42" s="12">
        <v>4825</v>
      </c>
      <c r="K42" s="12"/>
      <c r="L42" s="12"/>
      <c r="M42" s="20"/>
      <c r="N42" s="19">
        <v>0.28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2026-01-09T00:56:30Z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