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<sst xmlns="http://schemas.openxmlformats.org/spreadsheetml/2006/main" count="139" uniqueCount="66">
  <si>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</si>
  <si>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2026.01.21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</si>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</sst>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A1" sqref="A$1:A$1048576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25004</v>
      </c>
      <c r="D6" s="12">
        <f>SUM(D7:D41)</f>
        <v>1413057.534266</v>
      </c>
      <c r="E6" s="12">
        <f>C6-AI6</f>
        <v>-12</v>
      </c>
      <c r="F6" s="12">
        <f>D6-AJ6</f>
        <v>-5210.31121900026</v>
      </c>
      <c r="G6" s="12">
        <f>C6-AM6</f>
        <v>413</v>
      </c>
      <c r="H6" s="12">
        <f>D6-AN6</f>
        <v>19615.9882789997</v>
      </c>
      <c r="I6" s="12">
        <f>C6-AE6</f>
        <v>413</v>
      </c>
      <c r="J6" s="12">
        <f>D6-AF6</f>
        <v>19615.9882789997</v>
      </c>
      <c r="K6" s="12">
        <f>I6-AS6</f>
        <v>-1119</v>
      </c>
      <c r="L6" s="12">
        <f>J6-AT6</f>
        <v>-24234.5017210001</v>
      </c>
      <c r="M6" s="19">
        <f>I6/AE6*100</f>
        <v>1.67947623114147</v>
      </c>
      <c r="N6" s="19">
        <f>J6/AF6*100</f>
        <v>1.40773671744553</v>
      </c>
      <c r="O6" s="12">
        <f>C6+Y6</f>
        <v>25004</v>
      </c>
      <c r="P6" s="12">
        <f>D6+Z6</f>
        <v>1413057.534266</v>
      </c>
      <c r="Q6" s="12">
        <f>O6-AO6</f>
        <v>413</v>
      </c>
      <c r="R6" s="12">
        <f>P6-AP6</f>
        <v>19615.9882789997</v>
      </c>
      <c r="S6" s="30">
        <f>O6-AG6</f>
        <v>413</v>
      </c>
      <c r="T6" s="12">
        <f>P6-AH6</f>
        <v>19615.9882789997</v>
      </c>
      <c r="U6" s="19">
        <f>S6/AG6*100</f>
        <v>1.67947623114147</v>
      </c>
      <c r="V6" s="19">
        <f>T6/AH6*100</f>
        <v>1.40773671744553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25016</v>
      </c>
      <c r="AJ6" s="47">
        <v>1418267.845485</v>
      </c>
      <c r="AK6" s="47">
        <v>25016</v>
      </c>
      <c r="AL6" s="48">
        <v>1418267.845485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1652</v>
      </c>
      <c r="D7" s="12">
        <v>80999.0865760001</v>
      </c>
      <c r="E7" s="12">
        <f>C7-AI7</f>
        <v>-8</v>
      </c>
      <c r="F7" s="12">
        <f>D7-AJ7</f>
        <v>-1514.16350399989</v>
      </c>
      <c r="G7" s="12">
        <f>C7-AM7</f>
        <v>-5</v>
      </c>
      <c r="H7" s="12">
        <f>D7-AN7</f>
        <v>-1410.8293199999</v>
      </c>
      <c r="I7" s="12">
        <f>C7-AE7</f>
        <v>-5</v>
      </c>
      <c r="J7" s="12">
        <f>D7-AF7</f>
        <v>-1410.8293199999</v>
      </c>
      <c r="K7" s="12">
        <f t="shared" ref="K6:K12" si="0">I7-AS7</f>
        <v>-36</v>
      </c>
      <c r="L7" s="12">
        <f>J7-AT7</f>
        <v>-2918.36931999991</v>
      </c>
      <c r="M7" s="19">
        <f>I7/AE7*100</f>
        <v>-0.301750150875075</v>
      </c>
      <c r="N7" s="19">
        <f>J7/AF7*100</f>
        <v>-1.71196548942041</v>
      </c>
      <c r="O7" s="12">
        <f>C7+W7+AA7-AC7</f>
        <v>1652</v>
      </c>
      <c r="P7" s="12">
        <f>D7+X7+AB7-AD7</f>
        <v>80999.0865760001</v>
      </c>
      <c r="Q7" s="12">
        <f>O7-AO7</f>
        <v>-5</v>
      </c>
      <c r="R7" s="12">
        <f>P7-AP7</f>
        <v>-1410.8293199999</v>
      </c>
      <c r="S7" s="12">
        <f>O7-AG7</f>
        <v>-5</v>
      </c>
      <c r="T7" s="12">
        <f>P7-AH7</f>
        <v>-1410.8293199999</v>
      </c>
      <c r="U7" s="19">
        <f>S7/AG7*100</f>
        <v>-0.301750150875075</v>
      </c>
      <c r="V7" s="19">
        <f>T7/AH7*100</f>
        <v>-1.71196548942041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1660</v>
      </c>
      <c r="AJ7" s="47">
        <v>82513.25008</v>
      </c>
      <c r="AK7" s="47">
        <v>1660</v>
      </c>
      <c r="AL7" s="47">
        <v>82513.25008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1900</v>
      </c>
      <c r="D8" s="12">
        <v>121821.475387</v>
      </c>
      <c r="E8" s="12">
        <f>C8-AI8</f>
        <v>-7</v>
      </c>
      <c r="F8" s="12">
        <f>D8-AJ8</f>
        <v>-1451.487278</v>
      </c>
      <c r="G8" s="12">
        <f>C8-AM8</f>
        <v>-25</v>
      </c>
      <c r="H8" s="12">
        <f>D8-AN8</f>
        <v>-1406.89420900001</v>
      </c>
      <c r="I8" s="12">
        <f>C8-AE8</f>
        <v>-25</v>
      </c>
      <c r="J8" s="12">
        <f>D8-AF8</f>
        <v>-1406.89420900001</v>
      </c>
      <c r="K8" s="12">
        <f t="shared" si="0"/>
        <v>-25</v>
      </c>
      <c r="L8" s="12">
        <f>J8-AT8</f>
        <v>-293.044208999996</v>
      </c>
      <c r="M8" s="19">
        <f>I8/AE8*100</f>
        <v>-1.2987012987013</v>
      </c>
      <c r="N8" s="19">
        <f>J8/AF8*100</f>
        <v>-1.14169668365528</v>
      </c>
      <c r="O8" s="12">
        <f>C8+W8+AA8-AC8</f>
        <v>1908</v>
      </c>
      <c r="P8" s="12">
        <f>D8+X8+AB8-AD8</f>
        <v>122026.841387</v>
      </c>
      <c r="Q8" s="12">
        <f>O8-AO8</f>
        <v>-17</v>
      </c>
      <c r="R8" s="12">
        <f>P8-AP8</f>
        <v>-1201.52820900001</v>
      </c>
      <c r="S8" s="30">
        <f>O8-AG8</f>
        <v>-17</v>
      </c>
      <c r="T8" s="12">
        <f>P8-AH8</f>
        <v>-1201.52820900001</v>
      </c>
      <c r="U8" s="19">
        <f>S8/AG8*100</f>
        <v>-0.883116883116883</v>
      </c>
      <c r="V8" s="19">
        <f>T8/AH8*100</f>
        <v>-0.975041877888331</v>
      </c>
      <c r="W8" s="12"/>
      <c r="X8" s="29"/>
      <c r="Y8" s="29"/>
      <c r="Z8" s="29"/>
      <c r="AA8" s="29">
        <v>8</v>
      </c>
      <c r="AB8" s="12">
        <v>205.366</v>
      </c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1907</v>
      </c>
      <c r="AJ8" s="47">
        <v>123272.962665</v>
      </c>
      <c r="AK8" s="47">
        <v>1915</v>
      </c>
      <c r="AL8" s="47">
        <v>123478.328665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771</v>
      </c>
      <c r="D9" s="12">
        <v>23725.434134</v>
      </c>
      <c r="E9" s="12">
        <f t="shared" ref="E9:E41" si="1">C9-AI9</f>
        <v>-1</v>
      </c>
      <c r="F9" s="12">
        <f t="shared" ref="F9:F41" si="2">D9-AJ9</f>
        <v>-80.2333299999991</v>
      </c>
      <c r="G9" s="12">
        <f t="shared" ref="G9:G41" si="3">C9-AM9</f>
        <v>58</v>
      </c>
      <c r="H9" s="12">
        <f t="shared" ref="H9:H41" si="4">D9-AN9</f>
        <v>607.138897999997</v>
      </c>
      <c r="I9" s="12">
        <f t="shared" ref="I9:I41" si="5">C9-AE9</f>
        <v>58</v>
      </c>
      <c r="J9" s="12">
        <f t="shared" ref="J9:J41" si="6">D9-AF9</f>
        <v>607.138897999997</v>
      </c>
      <c r="K9" s="12">
        <f t="shared" si="0"/>
        <v>-43</v>
      </c>
      <c r="L9" s="12">
        <f t="shared" ref="L9:L41" si="7">J9-AT9</f>
        <v>-645.941102000003</v>
      </c>
      <c r="M9" s="19">
        <f t="shared" ref="M9:M41" si="8">I9/AE9*100</f>
        <v>8.13464235624123</v>
      </c>
      <c r="N9" s="19">
        <f t="shared" ref="N9:N41" si="9">J9/AF9*100</f>
        <v>2.62622694191809</v>
      </c>
      <c r="O9" s="12">
        <f t="shared" ref="O9:O40" si="10">C9+W9+AA9-AC9</f>
        <v>771</v>
      </c>
      <c r="P9" s="12">
        <f t="shared" ref="P9:P40" si="11">D9+X9+AB9-AD9</f>
        <v>23725.434134</v>
      </c>
      <c r="Q9" s="12">
        <f t="shared" ref="Q9:Q41" si="12">O9-AO9</f>
        <v>58</v>
      </c>
      <c r="R9" s="12">
        <f t="shared" ref="R9:R41" si="13">P9-AP9</f>
        <v>607.138897999997</v>
      </c>
      <c r="S9" s="12">
        <f t="shared" ref="S9:S41" si="14">O9-AG9</f>
        <v>58</v>
      </c>
      <c r="T9" s="12">
        <f t="shared" ref="T9:T41" si="15">P9-AH9</f>
        <v>607.138897999997</v>
      </c>
      <c r="U9" s="19">
        <f t="shared" ref="U9:U41" si="16">S9/AG9*100</f>
        <v>8.13464235624123</v>
      </c>
      <c r="V9" s="19">
        <f t="shared" ref="V9:V41" si="17">T9/AH9*100</f>
        <v>2.62622694191809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772</v>
      </c>
      <c r="AJ9" s="47">
        <v>23805.667464</v>
      </c>
      <c r="AK9" s="47">
        <v>772</v>
      </c>
      <c r="AL9" s="47">
        <v>23805.667464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935</v>
      </c>
      <c r="D10" s="12">
        <v>27824.510093</v>
      </c>
      <c r="E10" s="12">
        <f t="shared" si="1"/>
        <v>-2</v>
      </c>
      <c r="F10" s="12">
        <f t="shared" si="2"/>
        <v>-64.7104999999974</v>
      </c>
      <c r="G10" s="12">
        <f t="shared" si="3"/>
        <v>44</v>
      </c>
      <c r="H10" s="12">
        <f t="shared" si="4"/>
        <v>-51.1909820000001</v>
      </c>
      <c r="I10" s="12">
        <f t="shared" si="5"/>
        <v>44</v>
      </c>
      <c r="J10" s="12">
        <f t="shared" si="6"/>
        <v>-51.1909820000001</v>
      </c>
      <c r="K10" s="12">
        <f t="shared" si="0"/>
        <v>26</v>
      </c>
      <c r="L10" s="12">
        <f t="shared" si="7"/>
        <v>-1761.960982</v>
      </c>
      <c r="M10" s="19">
        <f t="shared" si="8"/>
        <v>4.93827160493827</v>
      </c>
      <c r="N10" s="19">
        <f t="shared" si="9"/>
        <v>-0.183640159801793</v>
      </c>
      <c r="O10" s="12">
        <f t="shared" si="10"/>
        <v>935</v>
      </c>
      <c r="P10" s="12">
        <f t="shared" si="11"/>
        <v>27824.510093</v>
      </c>
      <c r="Q10" s="12">
        <f t="shared" si="12"/>
        <v>44</v>
      </c>
      <c r="R10" s="12">
        <f t="shared" si="13"/>
        <v>-51.1909820000001</v>
      </c>
      <c r="S10" s="12">
        <f t="shared" si="14"/>
        <v>44</v>
      </c>
      <c r="T10" s="12">
        <f t="shared" si="15"/>
        <v>-51.1909820000001</v>
      </c>
      <c r="U10" s="19">
        <f t="shared" si="16"/>
        <v>4.93827160493827</v>
      </c>
      <c r="V10" s="19">
        <f t="shared" si="17"/>
        <v>-0.183640159801793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937</v>
      </c>
      <c r="AJ10" s="47">
        <v>27889.220593</v>
      </c>
      <c r="AK10" s="47">
        <v>937</v>
      </c>
      <c r="AL10" s="47">
        <v>27889.220593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514</v>
      </c>
      <c r="D11" s="12">
        <v>12655.350536</v>
      </c>
      <c r="E11" s="12">
        <f t="shared" si="1"/>
        <v>-2</v>
      </c>
      <c r="F11" s="12">
        <f t="shared" si="2"/>
        <v>3.008871</v>
      </c>
      <c r="G11" s="12">
        <f t="shared" si="3"/>
        <v>23</v>
      </c>
      <c r="H11" s="12">
        <f t="shared" si="4"/>
        <v>513.878721999999</v>
      </c>
      <c r="I11" s="12">
        <f t="shared" si="5"/>
        <v>23</v>
      </c>
      <c r="J11" s="12">
        <f t="shared" si="6"/>
        <v>513.878721999999</v>
      </c>
      <c r="K11" s="12">
        <f t="shared" si="0"/>
        <v>-16</v>
      </c>
      <c r="L11" s="12">
        <f t="shared" si="7"/>
        <v>-422.781278</v>
      </c>
      <c r="M11" s="19">
        <f t="shared" si="8"/>
        <v>4.68431771894094</v>
      </c>
      <c r="N11" s="19">
        <f t="shared" si="9"/>
        <v>4.23242527654234</v>
      </c>
      <c r="O11" s="12">
        <f t="shared" si="10"/>
        <v>514</v>
      </c>
      <c r="P11" s="12">
        <f t="shared" si="11"/>
        <v>12655.350536</v>
      </c>
      <c r="Q11" s="12">
        <f t="shared" si="12"/>
        <v>23</v>
      </c>
      <c r="R11" s="12">
        <f t="shared" si="13"/>
        <v>513.878721999999</v>
      </c>
      <c r="S11" s="12">
        <f t="shared" si="14"/>
        <v>23</v>
      </c>
      <c r="T11" s="12">
        <f t="shared" si="15"/>
        <v>513.878721999999</v>
      </c>
      <c r="U11" s="19">
        <f t="shared" si="16"/>
        <v>4.68431771894094</v>
      </c>
      <c r="V11" s="19">
        <f t="shared" si="17"/>
        <v>4.23242527654234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516</v>
      </c>
      <c r="AJ11" s="47">
        <v>12652.341665</v>
      </c>
      <c r="AK11" s="47">
        <v>516</v>
      </c>
      <c r="AL11" s="47">
        <v>12652.341665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396</v>
      </c>
      <c r="D12" s="12">
        <v>14328.169165</v>
      </c>
      <c r="E12" s="12">
        <f t="shared" si="1"/>
        <v>1</v>
      </c>
      <c r="F12" s="12">
        <f t="shared" si="2"/>
        <v>-51.0600000000013</v>
      </c>
      <c r="G12" s="12">
        <f t="shared" si="3"/>
        <v>38</v>
      </c>
      <c r="H12" s="12">
        <f t="shared" si="4"/>
        <v>952.922827999999</v>
      </c>
      <c r="I12" s="12">
        <f t="shared" si="5"/>
        <v>38</v>
      </c>
      <c r="J12" s="12">
        <f t="shared" si="6"/>
        <v>952.922827999999</v>
      </c>
      <c r="K12" s="12">
        <f t="shared" si="0"/>
        <v>-35</v>
      </c>
      <c r="L12" s="12">
        <f t="shared" si="7"/>
        <v>-541.077172000001</v>
      </c>
      <c r="M12" s="19">
        <f t="shared" si="8"/>
        <v>10.6145251396648</v>
      </c>
      <c r="N12" s="19">
        <f t="shared" si="9"/>
        <v>7.12452544043188</v>
      </c>
      <c r="O12" s="12">
        <f t="shared" si="10"/>
        <v>396</v>
      </c>
      <c r="P12" s="12">
        <f t="shared" si="11"/>
        <v>14328.169165</v>
      </c>
      <c r="Q12" s="12">
        <f t="shared" si="12"/>
        <v>38</v>
      </c>
      <c r="R12" s="12">
        <f t="shared" si="13"/>
        <v>952.922827999999</v>
      </c>
      <c r="S12" s="30">
        <f t="shared" si="14"/>
        <v>38</v>
      </c>
      <c r="T12" s="12">
        <f t="shared" si="15"/>
        <v>952.922827999999</v>
      </c>
      <c r="U12" s="19">
        <f t="shared" si="16"/>
        <v>10.6145251396648</v>
      </c>
      <c r="V12" s="19">
        <f t="shared" si="17"/>
        <v>7.12452544043188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395</v>
      </c>
      <c r="AJ12" s="47">
        <v>14379.229165</v>
      </c>
      <c r="AK12" s="47">
        <v>395</v>
      </c>
      <c r="AL12" s="47">
        <v>14379.229165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475</v>
      </c>
      <c r="D13" s="12">
        <v>11806.630473</v>
      </c>
      <c r="E13" s="12">
        <f t="shared" si="1"/>
        <v>1</v>
      </c>
      <c r="F13" s="12">
        <f t="shared" si="2"/>
        <v>-457.447917000001</v>
      </c>
      <c r="G13" s="12">
        <f t="shared" si="3"/>
        <v>6</v>
      </c>
      <c r="H13" s="12">
        <f t="shared" si="4"/>
        <v>-230.659143000001</v>
      </c>
      <c r="I13" s="12">
        <f t="shared" si="5"/>
        <v>6</v>
      </c>
      <c r="J13" s="12">
        <f t="shared" si="6"/>
        <v>-230.659143000001</v>
      </c>
      <c r="K13" s="12">
        <f t="shared" ref="K9:K41" si="18">I13-AS13</f>
        <v>3</v>
      </c>
      <c r="L13" s="12">
        <f t="shared" si="7"/>
        <v>-797.129143000002</v>
      </c>
      <c r="M13" s="19">
        <f t="shared" si="8"/>
        <v>1.27931769722815</v>
      </c>
      <c r="N13" s="19">
        <f t="shared" si="9"/>
        <v>-1.91620497934525</v>
      </c>
      <c r="O13" s="12">
        <f t="shared" si="10"/>
        <v>479</v>
      </c>
      <c r="P13" s="12">
        <f t="shared" si="11"/>
        <v>11896.130473</v>
      </c>
      <c r="Q13" s="12">
        <f t="shared" si="12"/>
        <v>10</v>
      </c>
      <c r="R13" s="12">
        <f t="shared" si="13"/>
        <v>-141.159143000001</v>
      </c>
      <c r="S13" s="12">
        <f t="shared" si="14"/>
        <v>10</v>
      </c>
      <c r="T13" s="12">
        <f t="shared" si="15"/>
        <v>-141.159143000001</v>
      </c>
      <c r="U13" s="19">
        <f t="shared" si="16"/>
        <v>2.13219616204691</v>
      </c>
      <c r="V13" s="19">
        <f t="shared" si="17"/>
        <v>-1.17268211950614</v>
      </c>
      <c r="W13" s="12"/>
      <c r="X13" s="29"/>
      <c r="Y13" s="29"/>
      <c r="Z13" s="29"/>
      <c r="AA13" s="29">
        <v>4</v>
      </c>
      <c r="AB13" s="12">
        <v>89.5</v>
      </c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474</v>
      </c>
      <c r="AJ13" s="47">
        <v>12264.07839</v>
      </c>
      <c r="AK13" s="47">
        <v>478</v>
      </c>
      <c r="AL13" s="47">
        <v>12353.57839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372</v>
      </c>
      <c r="D14" s="12">
        <v>11416.439244</v>
      </c>
      <c r="E14" s="12">
        <f t="shared" si="1"/>
        <v>10</v>
      </c>
      <c r="F14" s="12">
        <f t="shared" si="2"/>
        <v>59.9877679999991</v>
      </c>
      <c r="G14" s="12">
        <f t="shared" si="3"/>
        <v>24</v>
      </c>
      <c r="H14" s="12">
        <f t="shared" si="4"/>
        <v>836.748195999999</v>
      </c>
      <c r="I14" s="12">
        <f t="shared" si="5"/>
        <v>24</v>
      </c>
      <c r="J14" s="12">
        <f t="shared" si="6"/>
        <v>836.748195999999</v>
      </c>
      <c r="K14" s="12">
        <f t="shared" si="18"/>
        <v>-52</v>
      </c>
      <c r="L14" s="12">
        <f t="shared" si="7"/>
        <v>-80.5518040000004</v>
      </c>
      <c r="M14" s="19">
        <f t="shared" si="8"/>
        <v>6.89655172413793</v>
      </c>
      <c r="N14" s="19">
        <f t="shared" si="9"/>
        <v>7.90900407397226</v>
      </c>
      <c r="O14" s="12">
        <f t="shared" si="10"/>
        <v>372</v>
      </c>
      <c r="P14" s="12">
        <f t="shared" si="11"/>
        <v>11416.439244</v>
      </c>
      <c r="Q14" s="12">
        <f t="shared" si="12"/>
        <v>24</v>
      </c>
      <c r="R14" s="12">
        <f t="shared" si="13"/>
        <v>836.748195999999</v>
      </c>
      <c r="S14" s="12">
        <f t="shared" si="14"/>
        <v>24</v>
      </c>
      <c r="T14" s="12">
        <f t="shared" si="15"/>
        <v>836.748195999999</v>
      </c>
      <c r="U14" s="19">
        <f t="shared" si="16"/>
        <v>6.89655172413793</v>
      </c>
      <c r="V14" s="19">
        <f t="shared" si="17"/>
        <v>7.90900407397226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362</v>
      </c>
      <c r="AJ14" s="47">
        <v>11356.451476</v>
      </c>
      <c r="AK14" s="47">
        <v>362</v>
      </c>
      <c r="AL14" s="47">
        <v>11356.451476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714</v>
      </c>
      <c r="D15" s="12">
        <v>18183.140623</v>
      </c>
      <c r="E15" s="12">
        <f t="shared" si="1"/>
        <v>2</v>
      </c>
      <c r="F15" s="12">
        <f t="shared" si="2"/>
        <v>-52.7041319999989</v>
      </c>
      <c r="G15" s="12">
        <f t="shared" si="3"/>
        <v>60</v>
      </c>
      <c r="H15" s="12">
        <f t="shared" si="4"/>
        <v>641.803876999998</v>
      </c>
      <c r="I15" s="12">
        <f t="shared" si="5"/>
        <v>60</v>
      </c>
      <c r="J15" s="12">
        <f t="shared" si="6"/>
        <v>641.803876999998</v>
      </c>
      <c r="K15" s="12">
        <f t="shared" si="18"/>
        <v>-50</v>
      </c>
      <c r="L15" s="12">
        <f t="shared" si="7"/>
        <v>-818.046123000001</v>
      </c>
      <c r="M15" s="19">
        <f t="shared" si="8"/>
        <v>9.1743119266055</v>
      </c>
      <c r="N15" s="19">
        <f t="shared" si="9"/>
        <v>3.65880825557009</v>
      </c>
      <c r="O15" s="12">
        <f t="shared" si="10"/>
        <v>714</v>
      </c>
      <c r="P15" s="12">
        <f t="shared" si="11"/>
        <v>18183.140623</v>
      </c>
      <c r="Q15" s="12">
        <f t="shared" si="12"/>
        <v>60</v>
      </c>
      <c r="R15" s="12">
        <f t="shared" si="13"/>
        <v>641.803876999998</v>
      </c>
      <c r="S15" s="12">
        <f t="shared" si="14"/>
        <v>60</v>
      </c>
      <c r="T15" s="12">
        <f t="shared" si="15"/>
        <v>641.803876999998</v>
      </c>
      <c r="U15" s="19">
        <f t="shared" si="16"/>
        <v>9.1743119266055</v>
      </c>
      <c r="V15" s="19">
        <f t="shared" si="17"/>
        <v>3.65880825557009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712</v>
      </c>
      <c r="AJ15" s="47">
        <v>18235.844755</v>
      </c>
      <c r="AK15" s="47">
        <v>712</v>
      </c>
      <c r="AL15" s="47">
        <v>18235.844755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697</v>
      </c>
      <c r="D16" s="12">
        <v>23830.43628</v>
      </c>
      <c r="E16" s="12">
        <f t="shared" si="1"/>
        <v>1</v>
      </c>
      <c r="F16" s="12">
        <f t="shared" si="2"/>
        <v>110.567685000002</v>
      </c>
      <c r="G16" s="12">
        <f t="shared" si="3"/>
        <v>-6</v>
      </c>
      <c r="H16" s="12">
        <f t="shared" si="4"/>
        <v>929.709317000001</v>
      </c>
      <c r="I16" s="12">
        <f t="shared" si="5"/>
        <v>-6</v>
      </c>
      <c r="J16" s="12">
        <f t="shared" si="6"/>
        <v>929.709317000001</v>
      </c>
      <c r="K16" s="12">
        <f t="shared" si="18"/>
        <v>-69</v>
      </c>
      <c r="L16" s="12">
        <f t="shared" si="7"/>
        <v>141.749317000002</v>
      </c>
      <c r="M16" s="19">
        <f t="shared" si="8"/>
        <v>-0.85348506401138</v>
      </c>
      <c r="N16" s="19">
        <f t="shared" si="9"/>
        <v>4.05973713630184</v>
      </c>
      <c r="O16" s="12">
        <f t="shared" si="10"/>
        <v>697</v>
      </c>
      <c r="P16" s="12">
        <f t="shared" si="11"/>
        <v>23830.43628</v>
      </c>
      <c r="Q16" s="12">
        <f t="shared" si="12"/>
        <v>-6</v>
      </c>
      <c r="R16" s="12">
        <f t="shared" si="13"/>
        <v>929.709317000001</v>
      </c>
      <c r="S16" s="12">
        <f t="shared" si="14"/>
        <v>-6</v>
      </c>
      <c r="T16" s="12">
        <f t="shared" si="15"/>
        <v>929.709317000001</v>
      </c>
      <c r="U16" s="19">
        <f t="shared" si="16"/>
        <v>-0.85348506401138</v>
      </c>
      <c r="V16" s="19">
        <f t="shared" si="17"/>
        <v>4.05973713630184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696</v>
      </c>
      <c r="AJ16" s="47">
        <v>23719.868595</v>
      </c>
      <c r="AK16" s="47">
        <v>696</v>
      </c>
      <c r="AL16" s="47">
        <v>23719.868595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578</v>
      </c>
      <c r="D17" s="12">
        <v>17919.253373</v>
      </c>
      <c r="E17" s="12">
        <f t="shared" si="1"/>
        <v>-1</v>
      </c>
      <c r="F17" s="12">
        <f t="shared" si="2"/>
        <v>-16.6859499999991</v>
      </c>
      <c r="G17" s="12">
        <f t="shared" si="3"/>
        <v>-21</v>
      </c>
      <c r="H17" s="12">
        <f t="shared" si="4"/>
        <v>-510.767503999999</v>
      </c>
      <c r="I17" s="12">
        <f t="shared" si="5"/>
        <v>-21</v>
      </c>
      <c r="J17" s="12">
        <f t="shared" si="6"/>
        <v>-510.767503999999</v>
      </c>
      <c r="K17" s="12">
        <f t="shared" si="18"/>
        <v>-29</v>
      </c>
      <c r="L17" s="12">
        <f t="shared" si="7"/>
        <v>-1240.477504</v>
      </c>
      <c r="M17" s="19">
        <f t="shared" si="8"/>
        <v>-3.50584307178631</v>
      </c>
      <c r="N17" s="19">
        <f t="shared" si="9"/>
        <v>-2.7713886349278</v>
      </c>
      <c r="O17" s="12">
        <f t="shared" si="10"/>
        <v>581</v>
      </c>
      <c r="P17" s="12">
        <f t="shared" si="11"/>
        <v>17969.540473</v>
      </c>
      <c r="Q17" s="12">
        <f t="shared" si="12"/>
        <v>-18</v>
      </c>
      <c r="R17" s="12">
        <f t="shared" si="13"/>
        <v>-460.480403999998</v>
      </c>
      <c r="S17" s="30">
        <f t="shared" si="14"/>
        <v>-18</v>
      </c>
      <c r="T17" s="12">
        <f t="shared" si="15"/>
        <v>-460.480403999998</v>
      </c>
      <c r="U17" s="19">
        <f t="shared" si="16"/>
        <v>-3.00500834724541</v>
      </c>
      <c r="V17" s="19">
        <f t="shared" si="17"/>
        <v>-2.49853435909376</v>
      </c>
      <c r="W17" s="12"/>
      <c r="X17" s="29"/>
      <c r="Y17" s="29"/>
      <c r="Z17" s="29"/>
      <c r="AA17" s="29">
        <v>3</v>
      </c>
      <c r="AB17" s="12">
        <v>50.2871</v>
      </c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579</v>
      </c>
      <c r="AJ17" s="47">
        <v>17935.939323</v>
      </c>
      <c r="AK17" s="47">
        <v>582</v>
      </c>
      <c r="AL17" s="47">
        <v>17986.226423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477</v>
      </c>
      <c r="D18" s="12">
        <v>20252.540716</v>
      </c>
      <c r="E18" s="12">
        <f t="shared" si="1"/>
        <v>-1</v>
      </c>
      <c r="F18" s="12">
        <f t="shared" si="2"/>
        <v>15.3525010000012</v>
      </c>
      <c r="G18" s="12">
        <f t="shared" si="3"/>
        <v>-5</v>
      </c>
      <c r="H18" s="12">
        <f t="shared" si="4"/>
        <v>695.077315999999</v>
      </c>
      <c r="I18" s="12">
        <f t="shared" si="5"/>
        <v>-5</v>
      </c>
      <c r="J18" s="12">
        <f t="shared" si="6"/>
        <v>695.077315999999</v>
      </c>
      <c r="K18" s="12">
        <f t="shared" si="18"/>
        <v>-16</v>
      </c>
      <c r="L18" s="12">
        <f t="shared" si="7"/>
        <v>-616.392684000001</v>
      </c>
      <c r="M18" s="19">
        <f t="shared" si="8"/>
        <v>-1.03734439834025</v>
      </c>
      <c r="N18" s="19">
        <f t="shared" si="9"/>
        <v>3.55402590706113</v>
      </c>
      <c r="O18" s="12">
        <f t="shared" si="10"/>
        <v>477</v>
      </c>
      <c r="P18" s="12">
        <f t="shared" si="11"/>
        <v>20252.540716</v>
      </c>
      <c r="Q18" s="12">
        <f t="shared" si="12"/>
        <v>-5</v>
      </c>
      <c r="R18" s="12">
        <f t="shared" si="13"/>
        <v>695.077315999999</v>
      </c>
      <c r="S18" s="12">
        <f t="shared" si="14"/>
        <v>-5</v>
      </c>
      <c r="T18" s="12">
        <f t="shared" si="15"/>
        <v>695.077315999999</v>
      </c>
      <c r="U18" s="19">
        <f t="shared" si="16"/>
        <v>-1.03734439834025</v>
      </c>
      <c r="V18" s="19">
        <f t="shared" si="17"/>
        <v>3.55402590706113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478</v>
      </c>
      <c r="AJ18" s="47">
        <v>20237.188215</v>
      </c>
      <c r="AK18" s="47">
        <v>478</v>
      </c>
      <c r="AL18" s="47">
        <v>20237.188215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435</v>
      </c>
      <c r="D19" s="12">
        <v>15295.861862</v>
      </c>
      <c r="E19" s="12">
        <f t="shared" si="1"/>
        <v>4</v>
      </c>
      <c r="F19" s="12">
        <f t="shared" si="2"/>
        <v>29.6999999999989</v>
      </c>
      <c r="G19" s="12">
        <f t="shared" si="3"/>
        <v>3</v>
      </c>
      <c r="H19" s="12">
        <f t="shared" si="4"/>
        <v>665.51549</v>
      </c>
      <c r="I19" s="12">
        <f t="shared" si="5"/>
        <v>3</v>
      </c>
      <c r="J19" s="12">
        <f t="shared" si="6"/>
        <v>665.51549</v>
      </c>
      <c r="K19" s="12">
        <f t="shared" si="18"/>
        <v>-29</v>
      </c>
      <c r="L19" s="12">
        <f t="shared" si="7"/>
        <v>-137.46451</v>
      </c>
      <c r="M19" s="19">
        <f t="shared" si="8"/>
        <v>0.694444444444444</v>
      </c>
      <c r="N19" s="19">
        <f t="shared" si="9"/>
        <v>4.54887036217873</v>
      </c>
      <c r="O19" s="12">
        <f t="shared" si="10"/>
        <v>437</v>
      </c>
      <c r="P19" s="12">
        <f t="shared" si="11"/>
        <v>15312.159962</v>
      </c>
      <c r="Q19" s="12">
        <f t="shared" si="12"/>
        <v>5</v>
      </c>
      <c r="R19" s="12">
        <f t="shared" si="13"/>
        <v>681.81359</v>
      </c>
      <c r="S19" s="12">
        <f t="shared" si="14"/>
        <v>5</v>
      </c>
      <c r="T19" s="12">
        <f t="shared" si="15"/>
        <v>681.81359</v>
      </c>
      <c r="U19" s="19">
        <f t="shared" si="16"/>
        <v>1.15740740740741</v>
      </c>
      <c r="V19" s="19">
        <f t="shared" si="17"/>
        <v>4.66026963862507</v>
      </c>
      <c r="W19" s="12"/>
      <c r="X19" s="29"/>
      <c r="Y19" s="29"/>
      <c r="Z19" s="29"/>
      <c r="AA19" s="29">
        <v>2</v>
      </c>
      <c r="AB19" s="12">
        <v>16.2981</v>
      </c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431</v>
      </c>
      <c r="AJ19" s="47">
        <v>15266.161862</v>
      </c>
      <c r="AK19" s="47">
        <v>433</v>
      </c>
      <c r="AL19" s="47">
        <v>15282.459962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651</v>
      </c>
      <c r="D20" s="12">
        <v>19483.84233</v>
      </c>
      <c r="E20" s="12">
        <f t="shared" si="1"/>
        <v>2</v>
      </c>
      <c r="F20" s="12">
        <f t="shared" si="2"/>
        <v>27.0999999999985</v>
      </c>
      <c r="G20" s="12">
        <f t="shared" si="3"/>
        <v>40</v>
      </c>
      <c r="H20" s="12">
        <f t="shared" si="4"/>
        <v>1465.124726</v>
      </c>
      <c r="I20" s="12">
        <f t="shared" si="5"/>
        <v>40</v>
      </c>
      <c r="J20" s="12">
        <f t="shared" si="6"/>
        <v>1465.124726</v>
      </c>
      <c r="K20" s="12">
        <f t="shared" si="18"/>
        <v>-41</v>
      </c>
      <c r="L20" s="12">
        <f t="shared" si="7"/>
        <v>-751.525274000002</v>
      </c>
      <c r="M20" s="19">
        <f t="shared" si="8"/>
        <v>6.54664484451719</v>
      </c>
      <c r="N20" s="19">
        <f t="shared" si="9"/>
        <v>8.13112652187164</v>
      </c>
      <c r="O20" s="12">
        <f t="shared" si="10"/>
        <v>652</v>
      </c>
      <c r="P20" s="12">
        <f t="shared" si="11"/>
        <v>19513.34233</v>
      </c>
      <c r="Q20" s="12">
        <f t="shared" si="12"/>
        <v>41</v>
      </c>
      <c r="R20" s="12">
        <f t="shared" si="13"/>
        <v>1494.624726</v>
      </c>
      <c r="S20" s="12">
        <f t="shared" si="14"/>
        <v>41</v>
      </c>
      <c r="T20" s="12">
        <f t="shared" si="15"/>
        <v>1494.624726</v>
      </c>
      <c r="U20" s="19">
        <f t="shared" si="16"/>
        <v>6.71031096563011</v>
      </c>
      <c r="V20" s="19">
        <f t="shared" si="17"/>
        <v>8.29484516516427</v>
      </c>
      <c r="W20" s="12"/>
      <c r="X20" s="29"/>
      <c r="Y20" s="29"/>
      <c r="Z20" s="29"/>
      <c r="AA20" s="29">
        <v>1</v>
      </c>
      <c r="AB20" s="12">
        <v>29.5</v>
      </c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649</v>
      </c>
      <c r="AJ20" s="47">
        <v>19456.74233</v>
      </c>
      <c r="AK20" s="47">
        <v>650</v>
      </c>
      <c r="AL20" s="47">
        <v>19486.24233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440</v>
      </c>
      <c r="D21" s="12">
        <v>15140.932708</v>
      </c>
      <c r="E21" s="12">
        <f t="shared" si="1"/>
        <v>10</v>
      </c>
      <c r="F21" s="12">
        <f t="shared" si="2"/>
        <v>90.2067999999999</v>
      </c>
      <c r="G21" s="12">
        <f t="shared" si="3"/>
        <v>2</v>
      </c>
      <c r="H21" s="12">
        <f t="shared" si="4"/>
        <v>-283.531564999999</v>
      </c>
      <c r="I21" s="12">
        <f t="shared" si="5"/>
        <v>2</v>
      </c>
      <c r="J21" s="12">
        <f t="shared" si="6"/>
        <v>-283.531564999999</v>
      </c>
      <c r="K21" s="12">
        <f t="shared" si="18"/>
        <v>-55</v>
      </c>
      <c r="L21" s="12">
        <f t="shared" si="7"/>
        <v>-1293.431565</v>
      </c>
      <c r="M21" s="19">
        <f t="shared" si="8"/>
        <v>0.45662100456621</v>
      </c>
      <c r="N21" s="19">
        <f t="shared" si="9"/>
        <v>-1.83819392350833</v>
      </c>
      <c r="O21" s="12">
        <f t="shared" si="10"/>
        <v>440</v>
      </c>
      <c r="P21" s="12">
        <f t="shared" si="11"/>
        <v>15140.932708</v>
      </c>
      <c r="Q21" s="12">
        <f t="shared" si="12"/>
        <v>2</v>
      </c>
      <c r="R21" s="12">
        <f t="shared" si="13"/>
        <v>-283.531564999999</v>
      </c>
      <c r="S21" s="30">
        <f t="shared" si="14"/>
        <v>2</v>
      </c>
      <c r="T21" s="12">
        <f t="shared" si="15"/>
        <v>-283.531564999999</v>
      </c>
      <c r="U21" s="19">
        <f t="shared" si="16"/>
        <v>0.45662100456621</v>
      </c>
      <c r="V21" s="19">
        <f t="shared" si="17"/>
        <v>-1.83819392350833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430</v>
      </c>
      <c r="AJ21" s="47">
        <v>15050.725908</v>
      </c>
      <c r="AK21" s="47">
        <v>430</v>
      </c>
      <c r="AL21" s="47">
        <v>15050.725908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731</v>
      </c>
      <c r="D22" s="12">
        <v>25548.704369</v>
      </c>
      <c r="E22" s="12">
        <f t="shared" si="1"/>
        <v>0</v>
      </c>
      <c r="F22" s="12">
        <f t="shared" si="2"/>
        <v>-7.21281300000192</v>
      </c>
      <c r="G22" s="12">
        <f t="shared" si="3"/>
        <v>57</v>
      </c>
      <c r="H22" s="12">
        <f t="shared" si="4"/>
        <v>2204.135401</v>
      </c>
      <c r="I22" s="12">
        <f t="shared" si="5"/>
        <v>57</v>
      </c>
      <c r="J22" s="12">
        <f t="shared" si="6"/>
        <v>2204.135401</v>
      </c>
      <c r="K22" s="12">
        <f t="shared" si="18"/>
        <v>-5</v>
      </c>
      <c r="L22" s="12">
        <f t="shared" si="7"/>
        <v>925.215400999999</v>
      </c>
      <c r="M22" s="19">
        <f t="shared" si="8"/>
        <v>8.45697329376855</v>
      </c>
      <c r="N22" s="19">
        <f t="shared" si="9"/>
        <v>9.44174811718031</v>
      </c>
      <c r="O22" s="12">
        <f t="shared" si="10"/>
        <v>732</v>
      </c>
      <c r="P22" s="12">
        <f t="shared" si="11"/>
        <v>25643.704369</v>
      </c>
      <c r="Q22" s="12">
        <f t="shared" si="12"/>
        <v>58</v>
      </c>
      <c r="R22" s="12">
        <f t="shared" si="13"/>
        <v>2299.135401</v>
      </c>
      <c r="S22" s="12">
        <f t="shared" si="14"/>
        <v>58</v>
      </c>
      <c r="T22" s="12">
        <f t="shared" si="15"/>
        <v>2299.135401</v>
      </c>
      <c r="U22" s="19">
        <f t="shared" si="16"/>
        <v>8.6053412462908</v>
      </c>
      <c r="V22" s="19">
        <f t="shared" si="17"/>
        <v>9.84869501832131</v>
      </c>
      <c r="W22" s="12"/>
      <c r="X22" s="29"/>
      <c r="Y22" s="29"/>
      <c r="Z22" s="29"/>
      <c r="AA22" s="29">
        <v>1</v>
      </c>
      <c r="AB22" s="12">
        <v>95</v>
      </c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731</v>
      </c>
      <c r="AJ22" s="47">
        <v>25555.917182</v>
      </c>
      <c r="AK22" s="47">
        <v>732</v>
      </c>
      <c r="AL22" s="47">
        <v>25650.917182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704</v>
      </c>
      <c r="D23" s="12">
        <v>24873.098294</v>
      </c>
      <c r="E23" s="12">
        <f t="shared" si="1"/>
        <v>6</v>
      </c>
      <c r="F23" s="12">
        <f t="shared" si="2"/>
        <v>-261.359021</v>
      </c>
      <c r="G23" s="12">
        <f t="shared" si="3"/>
        <v>4</v>
      </c>
      <c r="H23" s="12">
        <f t="shared" si="4"/>
        <v>-1147.090292</v>
      </c>
      <c r="I23" s="12">
        <f t="shared" si="5"/>
        <v>4</v>
      </c>
      <c r="J23" s="12">
        <f t="shared" si="6"/>
        <v>-1147.090292</v>
      </c>
      <c r="K23" s="12">
        <f t="shared" si="18"/>
        <v>-38</v>
      </c>
      <c r="L23" s="12">
        <f t="shared" si="7"/>
        <v>-1675.500292</v>
      </c>
      <c r="M23" s="19">
        <f t="shared" si="8"/>
        <v>0.571428571428571</v>
      </c>
      <c r="N23" s="19">
        <f t="shared" si="9"/>
        <v>-4.40846263741987</v>
      </c>
      <c r="O23" s="12">
        <f t="shared" si="10"/>
        <v>704</v>
      </c>
      <c r="P23" s="12">
        <f t="shared" si="11"/>
        <v>24873.098294</v>
      </c>
      <c r="Q23" s="12">
        <f t="shared" si="12"/>
        <v>4</v>
      </c>
      <c r="R23" s="12">
        <f t="shared" si="13"/>
        <v>-1147.090292</v>
      </c>
      <c r="S23" s="12">
        <f t="shared" si="14"/>
        <v>4</v>
      </c>
      <c r="T23" s="12">
        <f t="shared" si="15"/>
        <v>-1147.090292</v>
      </c>
      <c r="U23" s="19">
        <f t="shared" si="16"/>
        <v>0.571428571428571</v>
      </c>
      <c r="V23" s="19">
        <f t="shared" si="17"/>
        <v>-4.40846263741987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698</v>
      </c>
      <c r="AJ23" s="47">
        <v>25134.457315</v>
      </c>
      <c r="AK23" s="47">
        <v>698</v>
      </c>
      <c r="AL23" s="47">
        <v>25134.457315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480</v>
      </c>
      <c r="D24" s="12">
        <v>15519.13</v>
      </c>
      <c r="E24" s="12">
        <f t="shared" si="1"/>
        <v>-4</v>
      </c>
      <c r="F24" s="12">
        <f t="shared" si="2"/>
        <v>-47.8936360000007</v>
      </c>
      <c r="G24" s="12">
        <f t="shared" si="3"/>
        <v>9</v>
      </c>
      <c r="H24" s="12">
        <f t="shared" si="4"/>
        <v>930.73</v>
      </c>
      <c r="I24" s="12">
        <f t="shared" si="5"/>
        <v>9</v>
      </c>
      <c r="J24" s="12">
        <f t="shared" si="6"/>
        <v>930.73</v>
      </c>
      <c r="K24" s="12">
        <f t="shared" si="18"/>
        <v>-42</v>
      </c>
      <c r="L24" s="12">
        <f t="shared" si="7"/>
        <v>112.74</v>
      </c>
      <c r="M24" s="19">
        <f t="shared" si="8"/>
        <v>1.91082802547771</v>
      </c>
      <c r="N24" s="19">
        <f t="shared" si="9"/>
        <v>6.37993200076773</v>
      </c>
      <c r="O24" s="12">
        <f t="shared" si="10"/>
        <v>480</v>
      </c>
      <c r="P24" s="12">
        <f t="shared" si="11"/>
        <v>15519.13</v>
      </c>
      <c r="Q24" s="12">
        <f t="shared" si="12"/>
        <v>9</v>
      </c>
      <c r="R24" s="12">
        <f t="shared" si="13"/>
        <v>930.73</v>
      </c>
      <c r="S24" s="30">
        <f t="shared" si="14"/>
        <v>9</v>
      </c>
      <c r="T24" s="12">
        <f t="shared" si="15"/>
        <v>930.73</v>
      </c>
      <c r="U24" s="19">
        <f t="shared" si="16"/>
        <v>1.91082802547771</v>
      </c>
      <c r="V24" s="19">
        <f t="shared" si="17"/>
        <v>6.37993200076773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484</v>
      </c>
      <c r="AJ24" s="47">
        <v>15567.023636</v>
      </c>
      <c r="AK24" s="47">
        <v>484</v>
      </c>
      <c r="AL24" s="47">
        <v>15567.023636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495</v>
      </c>
      <c r="D25" s="12">
        <v>16209.872099</v>
      </c>
      <c r="E25" s="12">
        <f t="shared" si="1"/>
        <v>-4</v>
      </c>
      <c r="F25" s="12">
        <f t="shared" si="2"/>
        <v>-333.540000000001</v>
      </c>
      <c r="G25" s="12">
        <f t="shared" si="3"/>
        <v>13</v>
      </c>
      <c r="H25" s="12">
        <f t="shared" si="4"/>
        <v>82.9950829999998</v>
      </c>
      <c r="I25" s="12">
        <f t="shared" si="5"/>
        <v>13</v>
      </c>
      <c r="J25" s="12">
        <f t="shared" si="6"/>
        <v>82.9950829999998</v>
      </c>
      <c r="K25" s="12">
        <f t="shared" si="18"/>
        <v>-12</v>
      </c>
      <c r="L25" s="12">
        <f t="shared" si="7"/>
        <v>-798.184917</v>
      </c>
      <c r="M25" s="19">
        <f t="shared" si="8"/>
        <v>2.69709543568465</v>
      </c>
      <c r="N25" s="19">
        <f t="shared" si="9"/>
        <v>0.514638283144701</v>
      </c>
      <c r="O25" s="12">
        <f t="shared" si="10"/>
        <v>496</v>
      </c>
      <c r="P25" s="12">
        <f t="shared" si="11"/>
        <v>16214.872099</v>
      </c>
      <c r="Q25" s="12">
        <f t="shared" si="12"/>
        <v>14</v>
      </c>
      <c r="R25" s="12">
        <f t="shared" si="13"/>
        <v>87.9950829999998</v>
      </c>
      <c r="S25" s="12">
        <f t="shared" si="14"/>
        <v>14</v>
      </c>
      <c r="T25" s="12">
        <f t="shared" si="15"/>
        <v>87.9950829999998</v>
      </c>
      <c r="U25" s="19">
        <f t="shared" si="16"/>
        <v>2.9045643153527</v>
      </c>
      <c r="V25" s="19">
        <f t="shared" si="17"/>
        <v>0.545642426073548</v>
      </c>
      <c r="W25" s="12"/>
      <c r="X25" s="29"/>
      <c r="Y25" s="29"/>
      <c r="Z25" s="29"/>
      <c r="AA25" s="29">
        <v>1</v>
      </c>
      <c r="AB25" s="12">
        <v>5</v>
      </c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499</v>
      </c>
      <c r="AJ25" s="47">
        <v>16543.412099</v>
      </c>
      <c r="AK25" s="47">
        <v>500</v>
      </c>
      <c r="AL25" s="47">
        <v>16548.412099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268</v>
      </c>
      <c r="D26" s="12">
        <v>10311.285685</v>
      </c>
      <c r="E26" s="12">
        <f t="shared" si="1"/>
        <v>2</v>
      </c>
      <c r="F26" s="12">
        <f t="shared" si="2"/>
        <v>30.6000000000004</v>
      </c>
      <c r="G26" s="12">
        <f t="shared" si="3"/>
        <v>-9</v>
      </c>
      <c r="H26" s="12">
        <f t="shared" si="4"/>
        <v>-511.139869999999</v>
      </c>
      <c r="I26" s="12">
        <f t="shared" si="5"/>
        <v>-9</v>
      </c>
      <c r="J26" s="12">
        <f t="shared" si="6"/>
        <v>-511.139869999999</v>
      </c>
      <c r="K26" s="12">
        <f t="shared" si="18"/>
        <v>-29</v>
      </c>
      <c r="L26" s="12">
        <f t="shared" si="7"/>
        <v>-1215.14987</v>
      </c>
      <c r="M26" s="19">
        <f t="shared" si="8"/>
        <v>-3.24909747292419</v>
      </c>
      <c r="N26" s="19">
        <f t="shared" si="9"/>
        <v>-4.72296960974567</v>
      </c>
      <c r="O26" s="12">
        <f t="shared" si="10"/>
        <v>268</v>
      </c>
      <c r="P26" s="12">
        <f t="shared" si="11"/>
        <v>10311.285685</v>
      </c>
      <c r="Q26" s="12">
        <f t="shared" si="12"/>
        <v>-9</v>
      </c>
      <c r="R26" s="12">
        <f t="shared" si="13"/>
        <v>-511.139869999999</v>
      </c>
      <c r="S26" s="12">
        <f t="shared" si="14"/>
        <v>-9</v>
      </c>
      <c r="T26" s="12">
        <f t="shared" si="15"/>
        <v>-511.139869999999</v>
      </c>
      <c r="U26" s="19">
        <f t="shared" si="16"/>
        <v>-3.24909747292419</v>
      </c>
      <c r="V26" s="19">
        <f t="shared" si="17"/>
        <v>-4.72296960974567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266</v>
      </c>
      <c r="AJ26" s="47">
        <v>10280.685685</v>
      </c>
      <c r="AK26" s="47">
        <v>266</v>
      </c>
      <c r="AL26" s="47">
        <v>10280.685685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342</v>
      </c>
      <c r="D27" s="12">
        <v>11082.935435</v>
      </c>
      <c r="E27" s="12">
        <f t="shared" si="1"/>
        <v>-1</v>
      </c>
      <c r="F27" s="12">
        <f t="shared" si="2"/>
        <v>-9</v>
      </c>
      <c r="G27" s="12">
        <f t="shared" si="3"/>
        <v>14</v>
      </c>
      <c r="H27" s="12">
        <f t="shared" si="4"/>
        <v>-335.529525</v>
      </c>
      <c r="I27" s="12">
        <f t="shared" si="5"/>
        <v>14</v>
      </c>
      <c r="J27" s="12">
        <f t="shared" si="6"/>
        <v>-335.529525</v>
      </c>
      <c r="K27" s="12">
        <f t="shared" si="18"/>
        <v>-18</v>
      </c>
      <c r="L27" s="12">
        <f t="shared" si="7"/>
        <v>-959.799525</v>
      </c>
      <c r="M27" s="19">
        <f t="shared" si="8"/>
        <v>4.26829268292683</v>
      </c>
      <c r="N27" s="19">
        <f t="shared" si="9"/>
        <v>-2.9384818903013</v>
      </c>
      <c r="O27" s="12">
        <f t="shared" si="10"/>
        <v>343</v>
      </c>
      <c r="P27" s="12">
        <f t="shared" si="11"/>
        <v>11086.893635</v>
      </c>
      <c r="Q27" s="12">
        <f t="shared" si="12"/>
        <v>15</v>
      </c>
      <c r="R27" s="12">
        <f t="shared" si="13"/>
        <v>-331.571325000001</v>
      </c>
      <c r="S27" s="12">
        <f t="shared" si="14"/>
        <v>15</v>
      </c>
      <c r="T27" s="12">
        <f t="shared" si="15"/>
        <v>-331.571325000001</v>
      </c>
      <c r="U27" s="19">
        <f t="shared" si="16"/>
        <v>4.57317073170732</v>
      </c>
      <c r="V27" s="19">
        <f t="shared" si="17"/>
        <v>-2.90381698557142</v>
      </c>
      <c r="W27" s="12"/>
      <c r="X27" s="29"/>
      <c r="Y27" s="29"/>
      <c r="Z27" s="29"/>
      <c r="AA27" s="29">
        <v>1</v>
      </c>
      <c r="AB27" s="12">
        <v>3.9582</v>
      </c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343</v>
      </c>
      <c r="AJ27" s="47">
        <v>11091.935435</v>
      </c>
      <c r="AK27" s="47">
        <v>344</v>
      </c>
      <c r="AL27" s="47">
        <v>11095.893635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372</v>
      </c>
      <c r="D28" s="12">
        <v>20047.799028</v>
      </c>
      <c r="E28" s="12">
        <f t="shared" si="1"/>
        <v>0</v>
      </c>
      <c r="F28" s="12">
        <f t="shared" si="2"/>
        <v>-5.47772799999802</v>
      </c>
      <c r="G28" s="12">
        <f t="shared" si="3"/>
        <v>10</v>
      </c>
      <c r="H28" s="12">
        <f t="shared" si="4"/>
        <v>-4.01201199999923</v>
      </c>
      <c r="I28" s="12">
        <f t="shared" si="5"/>
        <v>10</v>
      </c>
      <c r="J28" s="12">
        <f t="shared" si="6"/>
        <v>-4.01201199999923</v>
      </c>
      <c r="K28" s="12">
        <f t="shared" si="18"/>
        <v>-30</v>
      </c>
      <c r="L28" s="12">
        <f t="shared" si="7"/>
        <v>-884.742011999999</v>
      </c>
      <c r="M28" s="19">
        <f t="shared" si="8"/>
        <v>2.76243093922652</v>
      </c>
      <c r="N28" s="19">
        <f t="shared" si="9"/>
        <v>-0.0200082276458517</v>
      </c>
      <c r="O28" s="12">
        <f t="shared" si="10"/>
        <v>372</v>
      </c>
      <c r="P28" s="12">
        <f t="shared" si="11"/>
        <v>20047.799028</v>
      </c>
      <c r="Q28" s="12">
        <f t="shared" si="12"/>
        <v>10</v>
      </c>
      <c r="R28" s="12">
        <f t="shared" si="13"/>
        <v>-4.01201199999923</v>
      </c>
      <c r="S28" s="12">
        <f t="shared" si="14"/>
        <v>10</v>
      </c>
      <c r="T28" s="12">
        <f t="shared" si="15"/>
        <v>-4.01201199999923</v>
      </c>
      <c r="U28" s="19">
        <f t="shared" si="16"/>
        <v>2.76243093922652</v>
      </c>
      <c r="V28" s="19">
        <f t="shared" si="17"/>
        <v>-0.0200082276458517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372</v>
      </c>
      <c r="AJ28" s="47">
        <v>20053.276756</v>
      </c>
      <c r="AK28" s="47">
        <v>372</v>
      </c>
      <c r="AL28" s="47">
        <v>20053.276756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328</v>
      </c>
      <c r="D29" s="12">
        <v>11805.189954</v>
      </c>
      <c r="E29" s="12">
        <f t="shared" si="1"/>
        <v>0</v>
      </c>
      <c r="F29" s="12">
        <f t="shared" si="2"/>
        <v>-98.771130000001</v>
      </c>
      <c r="G29" s="12">
        <f t="shared" si="3"/>
        <v>0</v>
      </c>
      <c r="H29" s="12">
        <f t="shared" si="4"/>
        <v>-189.472654000001</v>
      </c>
      <c r="I29" s="12">
        <f t="shared" si="5"/>
        <v>0</v>
      </c>
      <c r="J29" s="12">
        <f t="shared" si="6"/>
        <v>-189.472654000001</v>
      </c>
      <c r="K29" s="12">
        <f t="shared" si="18"/>
        <v>-35</v>
      </c>
      <c r="L29" s="12">
        <f t="shared" si="7"/>
        <v>-737.182654000002</v>
      </c>
      <c r="M29" s="19">
        <f t="shared" si="8"/>
        <v>0</v>
      </c>
      <c r="N29" s="19">
        <f t="shared" si="9"/>
        <v>-1.57964138043891</v>
      </c>
      <c r="O29" s="12">
        <f t="shared" si="10"/>
        <v>329</v>
      </c>
      <c r="P29" s="12">
        <f t="shared" si="11"/>
        <v>12305.189954</v>
      </c>
      <c r="Q29" s="12">
        <f t="shared" si="12"/>
        <v>1</v>
      </c>
      <c r="R29" s="12">
        <f t="shared" si="13"/>
        <v>310.527345999999</v>
      </c>
      <c r="S29" s="12">
        <f t="shared" si="14"/>
        <v>1</v>
      </c>
      <c r="T29" s="12">
        <f t="shared" si="15"/>
        <v>310.527345999999</v>
      </c>
      <c r="U29" s="19">
        <f t="shared" si="16"/>
        <v>0.304878048780488</v>
      </c>
      <c r="V29" s="19">
        <f t="shared" si="17"/>
        <v>2.58887937200408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328</v>
      </c>
      <c r="AJ29" s="47">
        <v>11903.961084</v>
      </c>
      <c r="AK29" s="47">
        <v>329</v>
      </c>
      <c r="AL29" s="47">
        <v>12403.961084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359</v>
      </c>
      <c r="D30" s="12">
        <v>9965.98522500001</v>
      </c>
      <c r="E30" s="12">
        <f t="shared" si="1"/>
        <v>0</v>
      </c>
      <c r="F30" s="12">
        <f t="shared" si="2"/>
        <v>-10</v>
      </c>
      <c r="G30" s="12">
        <f t="shared" si="3"/>
        <v>36</v>
      </c>
      <c r="H30" s="12">
        <f t="shared" si="4"/>
        <v>846.74707500001</v>
      </c>
      <c r="I30" s="12">
        <f t="shared" si="5"/>
        <v>36</v>
      </c>
      <c r="J30" s="12">
        <f t="shared" si="6"/>
        <v>846.74707500001</v>
      </c>
      <c r="K30" s="12">
        <f t="shared" si="18"/>
        <v>-59</v>
      </c>
      <c r="L30" s="12">
        <f t="shared" si="7"/>
        <v>-173.39292499999</v>
      </c>
      <c r="M30" s="19">
        <f t="shared" si="8"/>
        <v>11.1455108359133</v>
      </c>
      <c r="N30" s="19">
        <f t="shared" si="9"/>
        <v>9.28528305843192</v>
      </c>
      <c r="O30" s="12">
        <f t="shared" si="10"/>
        <v>361</v>
      </c>
      <c r="P30" s="12">
        <f t="shared" si="11"/>
        <v>10000.585225</v>
      </c>
      <c r="Q30" s="12">
        <f t="shared" si="12"/>
        <v>38</v>
      </c>
      <c r="R30" s="12">
        <f t="shared" si="13"/>
        <v>881.347075000011</v>
      </c>
      <c r="S30" s="12">
        <f t="shared" si="14"/>
        <v>38</v>
      </c>
      <c r="T30" s="12">
        <f t="shared" si="15"/>
        <v>881.347075000011</v>
      </c>
      <c r="U30" s="19">
        <f t="shared" si="16"/>
        <v>11.7647058823529</v>
      </c>
      <c r="V30" s="19">
        <f t="shared" si="17"/>
        <v>9.66470071844774</v>
      </c>
      <c r="W30" s="12"/>
      <c r="X30" s="29"/>
      <c r="Y30" s="29"/>
      <c r="Z30" s="29"/>
      <c r="AA30" s="29">
        <v>2</v>
      </c>
      <c r="AB30" s="12">
        <v>34.6</v>
      </c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359</v>
      </c>
      <c r="AJ30" s="47">
        <v>9975.98522500001</v>
      </c>
      <c r="AK30" s="47">
        <v>361</v>
      </c>
      <c r="AL30" s="47">
        <v>10010.585225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361</v>
      </c>
      <c r="D31" s="12">
        <v>10381.803429</v>
      </c>
      <c r="E31" s="12">
        <f t="shared" si="1"/>
        <v>-3</v>
      </c>
      <c r="F31" s="12">
        <f t="shared" si="2"/>
        <v>-280.681565000001</v>
      </c>
      <c r="G31" s="12">
        <f t="shared" si="3"/>
        <v>-4</v>
      </c>
      <c r="H31" s="12">
        <f t="shared" si="4"/>
        <v>-699.706306</v>
      </c>
      <c r="I31" s="12">
        <f t="shared" si="5"/>
        <v>-4</v>
      </c>
      <c r="J31" s="12">
        <f t="shared" si="6"/>
        <v>-699.706306</v>
      </c>
      <c r="K31" s="12">
        <f t="shared" si="18"/>
        <v>-52</v>
      </c>
      <c r="L31" s="12">
        <f t="shared" si="7"/>
        <v>-1209.676306</v>
      </c>
      <c r="M31" s="19">
        <f t="shared" si="8"/>
        <v>-1.0958904109589</v>
      </c>
      <c r="N31" s="19">
        <f t="shared" si="9"/>
        <v>-6.31417850755514</v>
      </c>
      <c r="O31" s="12">
        <f t="shared" si="10"/>
        <v>363</v>
      </c>
      <c r="P31" s="12">
        <f t="shared" si="11"/>
        <v>10399.576129</v>
      </c>
      <c r="Q31" s="12">
        <f t="shared" si="12"/>
        <v>-2</v>
      </c>
      <c r="R31" s="12">
        <f t="shared" si="13"/>
        <v>-681.933606000001</v>
      </c>
      <c r="S31" s="12">
        <f t="shared" si="14"/>
        <v>-2</v>
      </c>
      <c r="T31" s="12">
        <f t="shared" si="15"/>
        <v>-681.933606000001</v>
      </c>
      <c r="U31" s="19">
        <f t="shared" si="16"/>
        <v>-0.547945205479452</v>
      </c>
      <c r="V31" s="19">
        <f t="shared" si="17"/>
        <v>-6.1537969311724</v>
      </c>
      <c r="W31" s="12"/>
      <c r="X31" s="29"/>
      <c r="Y31" s="29"/>
      <c r="Z31" s="29"/>
      <c r="AA31" s="29">
        <v>2</v>
      </c>
      <c r="AB31" s="12">
        <v>17.7727</v>
      </c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364</v>
      </c>
      <c r="AJ31" s="47">
        <v>10662.484994</v>
      </c>
      <c r="AK31" s="47">
        <v>366</v>
      </c>
      <c r="AL31" s="47">
        <v>10680.257694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519</v>
      </c>
      <c r="D32" s="12">
        <v>13077.229772</v>
      </c>
      <c r="E32" s="12">
        <f t="shared" si="1"/>
        <v>1</v>
      </c>
      <c r="F32" s="12">
        <f t="shared" si="2"/>
        <v>-84.6999999999989</v>
      </c>
      <c r="G32" s="12">
        <f t="shared" si="3"/>
        <v>19</v>
      </c>
      <c r="H32" s="12">
        <f t="shared" si="4"/>
        <v>626.564270000001</v>
      </c>
      <c r="I32" s="12">
        <f t="shared" si="5"/>
        <v>19</v>
      </c>
      <c r="J32" s="12">
        <f t="shared" si="6"/>
        <v>626.564270000001</v>
      </c>
      <c r="K32" s="12">
        <f t="shared" si="18"/>
        <v>-41</v>
      </c>
      <c r="L32" s="12">
        <f t="shared" si="7"/>
        <v>274.674270000002</v>
      </c>
      <c r="M32" s="19">
        <f t="shared" si="8"/>
        <v>3.8</v>
      </c>
      <c r="N32" s="19">
        <f t="shared" si="9"/>
        <v>5.03237573846437</v>
      </c>
      <c r="O32" s="12">
        <f t="shared" si="10"/>
        <v>519</v>
      </c>
      <c r="P32" s="12">
        <f t="shared" si="11"/>
        <v>13077.229772</v>
      </c>
      <c r="Q32" s="12">
        <f t="shared" si="12"/>
        <v>19</v>
      </c>
      <c r="R32" s="12">
        <f t="shared" si="13"/>
        <v>626.564270000001</v>
      </c>
      <c r="S32" s="30">
        <f t="shared" si="14"/>
        <v>19</v>
      </c>
      <c r="T32" s="12">
        <f t="shared" si="15"/>
        <v>626.564270000001</v>
      </c>
      <c r="U32" s="19">
        <f t="shared" si="16"/>
        <v>3.8</v>
      </c>
      <c r="V32" s="19">
        <f t="shared" si="17"/>
        <v>5.03237573846437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518</v>
      </c>
      <c r="AJ32" s="47">
        <v>13161.929772</v>
      </c>
      <c r="AK32" s="47">
        <v>518</v>
      </c>
      <c r="AL32" s="47">
        <v>13161.929772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2129</v>
      </c>
      <c r="D33" s="12">
        <v>97244.8358899999</v>
      </c>
      <c r="E33" s="12">
        <f t="shared" si="1"/>
        <v>3</v>
      </c>
      <c r="F33" s="12">
        <f t="shared" si="2"/>
        <v>426.270647999903</v>
      </c>
      <c r="G33" s="12">
        <f t="shared" si="3"/>
        <v>-11</v>
      </c>
      <c r="H33" s="12">
        <f t="shared" si="4"/>
        <v>-1481.99395400001</v>
      </c>
      <c r="I33" s="12">
        <f t="shared" si="5"/>
        <v>-11</v>
      </c>
      <c r="J33" s="12">
        <f t="shared" si="6"/>
        <v>-1481.99395400001</v>
      </c>
      <c r="K33" s="12">
        <f t="shared" si="18"/>
        <v>-42</v>
      </c>
      <c r="L33" s="12">
        <f t="shared" si="7"/>
        <v>-141.073954000005</v>
      </c>
      <c r="M33" s="19">
        <f t="shared" si="8"/>
        <v>-0.514018691588785</v>
      </c>
      <c r="N33" s="19">
        <f t="shared" si="9"/>
        <v>-1.50110558228369</v>
      </c>
      <c r="O33" s="12">
        <f t="shared" si="10"/>
        <v>2134</v>
      </c>
      <c r="P33" s="12">
        <f t="shared" si="11"/>
        <v>97375.1372899999</v>
      </c>
      <c r="Q33" s="12">
        <f t="shared" si="12"/>
        <v>-6</v>
      </c>
      <c r="R33" s="12">
        <f t="shared" si="13"/>
        <v>-1351.69255400001</v>
      </c>
      <c r="S33" s="30">
        <f t="shared" si="14"/>
        <v>-6</v>
      </c>
      <c r="T33" s="12">
        <f t="shared" si="15"/>
        <v>-1351.69255400001</v>
      </c>
      <c r="U33" s="19">
        <f t="shared" si="16"/>
        <v>-0.280373831775701</v>
      </c>
      <c r="V33" s="19">
        <f t="shared" si="17"/>
        <v>-1.36912383000228</v>
      </c>
      <c r="W33" s="12"/>
      <c r="X33" s="29"/>
      <c r="Y33" s="29"/>
      <c r="Z33" s="29"/>
      <c r="AA33" s="29">
        <v>5</v>
      </c>
      <c r="AB33" s="12">
        <v>130.3014</v>
      </c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2126</v>
      </c>
      <c r="AJ33" s="47">
        <v>96818.565242</v>
      </c>
      <c r="AK33" s="47">
        <v>2131</v>
      </c>
      <c r="AL33" s="47">
        <v>96948.866642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620</v>
      </c>
      <c r="D34" s="12">
        <v>27734.930248</v>
      </c>
      <c r="E34" s="12">
        <f t="shared" si="1"/>
        <v>-1</v>
      </c>
      <c r="F34" s="12">
        <f t="shared" si="2"/>
        <v>-293.849026</v>
      </c>
      <c r="G34" s="12">
        <f t="shared" si="3"/>
        <v>11</v>
      </c>
      <c r="H34" s="12">
        <f t="shared" si="4"/>
        <v>454.226438000002</v>
      </c>
      <c r="I34" s="12">
        <f t="shared" si="5"/>
        <v>11</v>
      </c>
      <c r="J34" s="12">
        <f t="shared" si="6"/>
        <v>454.226438000002</v>
      </c>
      <c r="K34" s="12">
        <f t="shared" si="18"/>
        <v>-21</v>
      </c>
      <c r="L34" s="12">
        <f t="shared" si="7"/>
        <v>-801.293561999998</v>
      </c>
      <c r="M34" s="19">
        <f t="shared" si="8"/>
        <v>1.80623973727422</v>
      </c>
      <c r="N34" s="19">
        <f t="shared" si="9"/>
        <v>1.66500996881723</v>
      </c>
      <c r="O34" s="12">
        <f t="shared" si="10"/>
        <v>620</v>
      </c>
      <c r="P34" s="12">
        <f t="shared" si="11"/>
        <v>27734.930248</v>
      </c>
      <c r="Q34" s="12">
        <f t="shared" si="12"/>
        <v>11</v>
      </c>
      <c r="R34" s="12">
        <f t="shared" si="13"/>
        <v>454.226438000002</v>
      </c>
      <c r="S34" s="12">
        <f t="shared" si="14"/>
        <v>11</v>
      </c>
      <c r="T34" s="12">
        <f t="shared" si="15"/>
        <v>454.226438000002</v>
      </c>
      <c r="U34" s="19">
        <f t="shared" si="16"/>
        <v>1.80623973727422</v>
      </c>
      <c r="V34" s="19">
        <f t="shared" si="17"/>
        <v>1.66500996881723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621</v>
      </c>
      <c r="AJ34" s="47">
        <v>28028.779274</v>
      </c>
      <c r="AK34" s="47">
        <v>621</v>
      </c>
      <c r="AL34" s="47">
        <v>28028.779274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2487</v>
      </c>
      <c r="D35" s="12">
        <v>97438</v>
      </c>
      <c r="E35" s="12">
        <f t="shared" si="1"/>
        <v>-19</v>
      </c>
      <c r="F35" s="12">
        <f t="shared" si="2"/>
        <v>-1063</v>
      </c>
      <c r="G35" s="12">
        <f t="shared" si="3"/>
        <v>-34</v>
      </c>
      <c r="H35" s="12">
        <f t="shared" si="4"/>
        <v>34</v>
      </c>
      <c r="I35" s="12">
        <f t="shared" si="5"/>
        <v>-34</v>
      </c>
      <c r="J35" s="12">
        <f t="shared" si="6"/>
        <v>34</v>
      </c>
      <c r="K35" s="12">
        <f t="shared" si="18"/>
        <v>-157</v>
      </c>
      <c r="L35" s="12">
        <f t="shared" si="7"/>
        <v>-5280</v>
      </c>
      <c r="M35" s="19">
        <f t="shared" si="8"/>
        <v>-1.34867116223721</v>
      </c>
      <c r="N35" s="19">
        <f t="shared" si="9"/>
        <v>0.0349061640179048</v>
      </c>
      <c r="O35" s="12">
        <f t="shared" si="10"/>
        <v>2492</v>
      </c>
      <c r="P35" s="12">
        <f t="shared" si="11"/>
        <v>97596.284</v>
      </c>
      <c r="Q35" s="12">
        <f t="shared" si="12"/>
        <v>-29</v>
      </c>
      <c r="R35" s="12">
        <f t="shared" si="13"/>
        <v>192.284</v>
      </c>
      <c r="S35" s="12">
        <f t="shared" si="14"/>
        <v>-29</v>
      </c>
      <c r="T35" s="12">
        <f t="shared" si="15"/>
        <v>192.284</v>
      </c>
      <c r="U35" s="19">
        <f t="shared" si="16"/>
        <v>-1.15033716779056</v>
      </c>
      <c r="V35" s="19">
        <f t="shared" si="17"/>
        <v>0.197408730647612</v>
      </c>
      <c r="W35" s="12"/>
      <c r="X35" s="29"/>
      <c r="Y35" s="29"/>
      <c r="Z35" s="29"/>
      <c r="AA35" s="29">
        <v>5</v>
      </c>
      <c r="AB35" s="12">
        <v>158.284</v>
      </c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2506</v>
      </c>
      <c r="AJ35" s="47">
        <v>98501</v>
      </c>
      <c r="AK35" s="47">
        <v>2511</v>
      </c>
      <c r="AL35" s="47">
        <v>98659.284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2531</v>
      </c>
      <c r="D36" s="12">
        <v>83973</v>
      </c>
      <c r="E36" s="12">
        <f t="shared" si="1"/>
        <v>0</v>
      </c>
      <c r="F36" s="12">
        <f t="shared" si="2"/>
        <v>-19</v>
      </c>
      <c r="G36" s="12">
        <f t="shared" si="3"/>
        <v>-12</v>
      </c>
      <c r="H36" s="12">
        <f t="shared" si="4"/>
        <v>-592</v>
      </c>
      <c r="I36" s="12">
        <f t="shared" si="5"/>
        <v>-12</v>
      </c>
      <c r="J36" s="12">
        <f t="shared" si="6"/>
        <v>-592</v>
      </c>
      <c r="K36" s="12">
        <f t="shared" si="18"/>
        <v>-15</v>
      </c>
      <c r="L36" s="12">
        <f t="shared" si="7"/>
        <v>-598</v>
      </c>
      <c r="M36" s="19">
        <f t="shared" si="8"/>
        <v>-0.471883602044829</v>
      </c>
      <c r="N36" s="19">
        <f t="shared" si="9"/>
        <v>-0.700053213504405</v>
      </c>
      <c r="O36" s="12">
        <f t="shared" si="10"/>
        <v>2531</v>
      </c>
      <c r="P36" s="12">
        <f t="shared" si="11"/>
        <v>83973</v>
      </c>
      <c r="Q36" s="12">
        <f t="shared" si="12"/>
        <v>-12</v>
      </c>
      <c r="R36" s="12">
        <f t="shared" si="13"/>
        <v>-592</v>
      </c>
      <c r="S36" s="12">
        <f t="shared" si="14"/>
        <v>-12</v>
      </c>
      <c r="T36" s="12">
        <f t="shared" si="15"/>
        <v>-592</v>
      </c>
      <c r="U36" s="19">
        <f t="shared" si="16"/>
        <v>-0.471883602044829</v>
      </c>
      <c r="V36" s="19">
        <f t="shared" si="17"/>
        <v>-0.700053213504405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2531</v>
      </c>
      <c r="AJ36" s="47">
        <v>83992</v>
      </c>
      <c r="AK36" s="47">
        <v>2531</v>
      </c>
      <c r="AL36" s="47">
        <v>83992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306</v>
      </c>
      <c r="D37" s="12">
        <v>13447.838856</v>
      </c>
      <c r="E37" s="12">
        <f t="shared" si="1"/>
        <v>-1</v>
      </c>
      <c r="F37" s="12">
        <f t="shared" si="2"/>
        <v>-256</v>
      </c>
      <c r="G37" s="12">
        <f t="shared" si="3"/>
        <v>13</v>
      </c>
      <c r="H37" s="12">
        <f t="shared" si="4"/>
        <v>-205.34</v>
      </c>
      <c r="I37" s="12">
        <f t="shared" si="5"/>
        <v>13</v>
      </c>
      <c r="J37" s="12">
        <f t="shared" si="6"/>
        <v>-205.34</v>
      </c>
      <c r="K37" s="12">
        <f t="shared" si="18"/>
        <v>-31</v>
      </c>
      <c r="L37" s="12">
        <f t="shared" si="7"/>
        <v>-1210.95</v>
      </c>
      <c r="M37" s="19">
        <f t="shared" si="8"/>
        <v>4.43686006825939</v>
      </c>
      <c r="N37" s="19">
        <f t="shared" si="9"/>
        <v>-1.50397209445302</v>
      </c>
      <c r="O37" s="12">
        <f t="shared" si="10"/>
        <v>306</v>
      </c>
      <c r="P37" s="12">
        <f t="shared" si="11"/>
        <v>13447.838856</v>
      </c>
      <c r="Q37" s="12">
        <f t="shared" si="12"/>
        <v>13</v>
      </c>
      <c r="R37" s="12">
        <f t="shared" si="13"/>
        <v>-205.34</v>
      </c>
      <c r="S37" s="12">
        <f t="shared" si="14"/>
        <v>13</v>
      </c>
      <c r="T37" s="12">
        <f t="shared" si="15"/>
        <v>-205.34</v>
      </c>
      <c r="U37" s="19">
        <f t="shared" si="16"/>
        <v>4.43686006825939</v>
      </c>
      <c r="V37" s="19">
        <f t="shared" si="17"/>
        <v>-1.50397209445302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307</v>
      </c>
      <c r="AJ37" s="47">
        <v>13703.838856</v>
      </c>
      <c r="AK37" s="47">
        <v>307</v>
      </c>
      <c r="AL37" s="47">
        <v>13703.838856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439</v>
      </c>
      <c r="D38" s="12">
        <v>19158.073552</v>
      </c>
      <c r="E38" s="12">
        <f t="shared" si="1"/>
        <v>-4</v>
      </c>
      <c r="F38" s="12">
        <f t="shared" si="2"/>
        <v>-987.533510999998</v>
      </c>
      <c r="G38" s="12">
        <f t="shared" si="3"/>
        <v>-5</v>
      </c>
      <c r="H38" s="12">
        <f t="shared" si="4"/>
        <v>-570.651549999999</v>
      </c>
      <c r="I38" s="12">
        <f t="shared" si="5"/>
        <v>-5</v>
      </c>
      <c r="J38" s="12">
        <f t="shared" si="6"/>
        <v>-570.651549999999</v>
      </c>
      <c r="K38" s="12">
        <f t="shared" si="18"/>
        <v>-45</v>
      </c>
      <c r="L38" s="12">
        <f t="shared" si="7"/>
        <v>-1589.65155</v>
      </c>
      <c r="M38" s="19">
        <f t="shared" si="8"/>
        <v>-1.12612612612613</v>
      </c>
      <c r="N38" s="19">
        <f t="shared" si="9"/>
        <v>-2.89249075675016</v>
      </c>
      <c r="O38" s="12">
        <f t="shared" si="10"/>
        <v>439</v>
      </c>
      <c r="P38" s="12">
        <f t="shared" si="11"/>
        <v>19158.073552</v>
      </c>
      <c r="Q38" s="12">
        <f t="shared" si="12"/>
        <v>-5</v>
      </c>
      <c r="R38" s="12">
        <f t="shared" si="13"/>
        <v>-570.651549999999</v>
      </c>
      <c r="S38" s="12">
        <f t="shared" si="14"/>
        <v>-5</v>
      </c>
      <c r="T38" s="12">
        <f t="shared" si="15"/>
        <v>-570.651549999999</v>
      </c>
      <c r="U38" s="19">
        <f t="shared" si="16"/>
        <v>-1.12612612612613</v>
      </c>
      <c r="V38" s="19">
        <f t="shared" si="17"/>
        <v>-2.89249075675016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443</v>
      </c>
      <c r="AJ38" s="47">
        <v>20145.607063</v>
      </c>
      <c r="AK38" s="47">
        <v>443</v>
      </c>
      <c r="AL38" s="47">
        <v>20145.607063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422</v>
      </c>
      <c r="D39" s="12">
        <v>18720.481943</v>
      </c>
      <c r="E39" s="12">
        <f t="shared" si="1"/>
        <v>-1</v>
      </c>
      <c r="F39" s="12">
        <f t="shared" si="2"/>
        <v>103.276899999997</v>
      </c>
      <c r="G39" s="12">
        <f t="shared" si="3"/>
        <v>18</v>
      </c>
      <c r="H39" s="12">
        <f t="shared" si="4"/>
        <v>1162.04346</v>
      </c>
      <c r="I39" s="12">
        <f t="shared" si="5"/>
        <v>18</v>
      </c>
      <c r="J39" s="12">
        <f t="shared" si="6"/>
        <v>1162.04346</v>
      </c>
      <c r="K39" s="12">
        <f t="shared" si="18"/>
        <v>0</v>
      </c>
      <c r="L39" s="12">
        <f t="shared" si="7"/>
        <v>160.863459999997</v>
      </c>
      <c r="M39" s="19">
        <f t="shared" si="8"/>
        <v>4.45544554455445</v>
      </c>
      <c r="N39" s="19">
        <f t="shared" si="9"/>
        <v>6.61814808375518</v>
      </c>
      <c r="O39" s="12">
        <f t="shared" si="10"/>
        <v>422</v>
      </c>
      <c r="P39" s="12">
        <f t="shared" si="11"/>
        <v>18720.481943</v>
      </c>
      <c r="Q39" s="12">
        <f t="shared" si="12"/>
        <v>18</v>
      </c>
      <c r="R39" s="12">
        <f t="shared" si="13"/>
        <v>1162.04346</v>
      </c>
      <c r="S39" s="12">
        <f t="shared" si="14"/>
        <v>18</v>
      </c>
      <c r="T39" s="12">
        <f t="shared" si="15"/>
        <v>1162.04346</v>
      </c>
      <c r="U39" s="19">
        <f t="shared" si="16"/>
        <v>4.45544554455445</v>
      </c>
      <c r="V39" s="19">
        <f t="shared" si="17"/>
        <v>6.61814808375518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423</v>
      </c>
      <c r="AJ39" s="47">
        <v>18617.205043</v>
      </c>
      <c r="AK39" s="47">
        <v>423</v>
      </c>
      <c r="AL39" s="47">
        <v>18617.205043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337</v>
      </c>
      <c r="D40" s="12">
        <v>433495.884804</v>
      </c>
      <c r="E40" s="12">
        <f t="shared" si="1"/>
        <v>2</v>
      </c>
      <c r="F40" s="12">
        <f t="shared" si="2"/>
        <v>1350</v>
      </c>
      <c r="G40" s="12">
        <f t="shared" si="3"/>
        <v>13</v>
      </c>
      <c r="H40" s="12">
        <f t="shared" si="4"/>
        <v>14864.91</v>
      </c>
      <c r="I40" s="12">
        <f t="shared" si="5"/>
        <v>13</v>
      </c>
      <c r="J40" s="12">
        <f t="shared" si="6"/>
        <v>14864.91</v>
      </c>
      <c r="K40" s="12">
        <f t="shared" si="18"/>
        <v>2</v>
      </c>
      <c r="L40" s="12">
        <f t="shared" si="7"/>
        <v>5641.93999999994</v>
      </c>
      <c r="M40" s="19">
        <f t="shared" si="8"/>
        <v>4.01234567901235</v>
      </c>
      <c r="N40" s="19">
        <f t="shared" si="9"/>
        <v>3.55083854150057</v>
      </c>
      <c r="O40" s="12">
        <f t="shared" si="10"/>
        <v>336</v>
      </c>
      <c r="P40" s="12">
        <f t="shared" si="11"/>
        <v>432995.884804</v>
      </c>
      <c r="Q40" s="12">
        <f t="shared" si="12"/>
        <v>12</v>
      </c>
      <c r="R40" s="12">
        <f t="shared" si="13"/>
        <v>14364.91</v>
      </c>
      <c r="S40" s="12">
        <f t="shared" si="14"/>
        <v>12</v>
      </c>
      <c r="T40" s="12">
        <f t="shared" si="15"/>
        <v>14364.91</v>
      </c>
      <c r="U40" s="19">
        <f t="shared" si="16"/>
        <v>3.7037037037037</v>
      </c>
      <c r="V40" s="19">
        <f t="shared" si="17"/>
        <v>3.4314016077586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335</v>
      </c>
      <c r="AJ40" s="47">
        <v>432145.884804</v>
      </c>
      <c r="AK40" s="47">
        <v>334</v>
      </c>
      <c r="AL40" s="47">
        <v>431645.884804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385</v>
      </c>
      <c r="D41" s="12">
        <v>18338.352183</v>
      </c>
      <c r="E41" s="12">
        <f t="shared" si="1"/>
        <v>0</v>
      </c>
      <c r="F41" s="12">
        <f t="shared" si="2"/>
        <v>-9.8713510000016</v>
      </c>
      <c r="G41" s="12">
        <f t="shared" si="3"/>
        <v>33</v>
      </c>
      <c r="H41" s="12">
        <f t="shared" si="4"/>
        <v>732.526067999999</v>
      </c>
      <c r="I41" s="12">
        <f t="shared" si="5"/>
        <v>33</v>
      </c>
      <c r="J41" s="12">
        <f t="shared" si="6"/>
        <v>732.526067999999</v>
      </c>
      <c r="K41" s="12">
        <f t="shared" si="18"/>
        <v>-1</v>
      </c>
      <c r="L41" s="12">
        <f t="shared" si="7"/>
        <v>-188.233932000003</v>
      </c>
      <c r="M41" s="19">
        <f t="shared" si="8"/>
        <v>9.375</v>
      </c>
      <c r="N41" s="19">
        <f t="shared" si="9"/>
        <v>4.16070261750395</v>
      </c>
      <c r="O41" s="12">
        <f>C41+W41+AA41-AC41+Y41</f>
        <v>350</v>
      </c>
      <c r="P41" s="12">
        <f>D41+X41+AB41-AD41+Z41</f>
        <v>17502.484683</v>
      </c>
      <c r="Q41" s="12">
        <f t="shared" si="12"/>
        <v>-2</v>
      </c>
      <c r="R41" s="12">
        <f t="shared" si="13"/>
        <v>-103.341432000001</v>
      </c>
      <c r="S41" s="12">
        <f t="shared" si="14"/>
        <v>-2</v>
      </c>
      <c r="T41" s="12">
        <f t="shared" si="15"/>
        <v>-103.341432000001</v>
      </c>
      <c r="U41" s="19">
        <f t="shared" si="16"/>
        <v>-0.568181818181818</v>
      </c>
      <c r="V41" s="19">
        <f t="shared" si="17"/>
        <v>-0.586972922059903</v>
      </c>
      <c r="W41" s="12"/>
      <c r="X41" s="29"/>
      <c r="Y41" s="29"/>
      <c r="Z41" s="29"/>
      <c r="AA41" s="12">
        <f>-SUM(AA7:AA40)</f>
        <v>-35</v>
      </c>
      <c r="AB41" s="12">
        <f>-SUM(AB7:AB40)</f>
        <v>-835.8675</v>
      </c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385</v>
      </c>
      <c r="AJ41" s="47">
        <v>18348.223534</v>
      </c>
      <c r="AK41" s="47">
        <v>350</v>
      </c>
      <c r="AL41" s="47">
        <v>17512.356034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1771197</v>
      </c>
      <c r="E42" s="16"/>
      <c r="F42" s="12">
        <v>-9210</v>
      </c>
      <c r="G42" s="16"/>
      <c r="H42" s="12">
        <v>33255</v>
      </c>
      <c r="I42" s="16"/>
      <c r="J42" s="12">
        <v>33255</v>
      </c>
      <c r="K42" s="12"/>
      <c r="L42" s="12"/>
      <c r="M42" s="20"/>
      <c r="N42" s="19">
        <v>1.91</v>
      </c>
      <c r="O42" s="12" t="s">
        <v>65</v>
      </c>
      <c r="P42" s="12">
        <v>358139</v>
      </c>
      <c r="Q42" s="16"/>
      <c r="R42" s="12">
        <v>13639</v>
      </c>
      <c r="S42" s="16"/>
      <c r="T42" s="12">
        <v>13639</v>
      </c>
      <c r="U42" s="16"/>
      <c r="V42" s="19">
        <v>3.96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2026-01-22T01:05:08Z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